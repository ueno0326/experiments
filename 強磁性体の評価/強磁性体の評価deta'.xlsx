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k\Desktop\大学関係\物理材料理工学実験\強磁性体の評価\"/>
    </mc:Choice>
  </mc:AlternateContent>
  <xr:revisionPtr revIDLastSave="0" documentId="13_ncr:1_{2E31E516-4695-492E-9E8E-D9E34413FF02}" xr6:coauthVersionLast="47" xr6:coauthVersionMax="47" xr10:uidLastSave="{00000000-0000-0000-0000-000000000000}"/>
  <bookViews>
    <workbookView xWindow="-110" yWindow="-110" windowWidth="19420" windowHeight="10420" activeTab="1" xr2:uid="{950026CE-BF62-9B42-AD12-6858E93DF20F}"/>
  </bookViews>
  <sheets>
    <sheet name="Ni" sheetId="2" r:id="rId1"/>
    <sheet name="J=1|2" sheetId="5" r:id="rId2"/>
    <sheet name="J=1" sheetId="3" r:id="rId3"/>
    <sheet name="J=∞" sheetId="4" r:id="rId4"/>
    <sheet name="Dy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" i="5" l="1"/>
  <c r="M37" i="5"/>
  <c r="M39" i="5"/>
  <c r="M26" i="5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3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CZ2" i="4"/>
  <c r="DA2" i="4"/>
  <c r="DB2" i="4"/>
  <c r="DC2" i="4"/>
  <c r="DD2" i="4"/>
  <c r="DE2" i="4"/>
  <c r="DF2" i="4"/>
  <c r="DG2" i="4"/>
  <c r="DH2" i="4"/>
  <c r="DI2" i="4"/>
  <c r="DJ2" i="4"/>
  <c r="DK2" i="4"/>
  <c r="DL2" i="4"/>
  <c r="L2" i="4"/>
  <c r="M27" i="5"/>
  <c r="M28" i="5"/>
  <c r="M29" i="5"/>
  <c r="M30" i="5"/>
  <c r="M31" i="5"/>
  <c r="M32" i="5"/>
  <c r="M33" i="5"/>
  <c r="M34" i="5"/>
  <c r="M36" i="5"/>
  <c r="M38" i="5"/>
  <c r="M40" i="5"/>
  <c r="M41" i="5"/>
  <c r="M42" i="5"/>
  <c r="M43" i="5"/>
  <c r="M25" i="5"/>
  <c r="AF2" i="5"/>
  <c r="AG2" i="5"/>
  <c r="AH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L2" i="5"/>
  <c r="C28" i="5"/>
  <c r="G27" i="5"/>
  <c r="I27" i="5" s="1"/>
  <c r="F27" i="5"/>
  <c r="H27" i="5" s="1"/>
  <c r="G26" i="5"/>
  <c r="I26" i="5" s="1"/>
  <c r="F26" i="5"/>
  <c r="H26" i="5" s="1"/>
  <c r="G25" i="5"/>
  <c r="I25" i="5" s="1"/>
  <c r="F25" i="5"/>
  <c r="H25" i="5" s="1"/>
  <c r="G24" i="5"/>
  <c r="I24" i="5" s="1"/>
  <c r="F24" i="5"/>
  <c r="H24" i="5" s="1"/>
  <c r="G23" i="5"/>
  <c r="I23" i="5" s="1"/>
  <c r="F23" i="5"/>
  <c r="H23" i="5" s="1"/>
  <c r="Q23" i="5" s="1"/>
  <c r="G22" i="5"/>
  <c r="I22" i="5" s="1"/>
  <c r="F22" i="5"/>
  <c r="H22" i="5" s="1"/>
  <c r="G21" i="5"/>
  <c r="I21" i="5" s="1"/>
  <c r="F21" i="5"/>
  <c r="H21" i="5" s="1"/>
  <c r="AE21" i="5" s="1"/>
  <c r="G20" i="5"/>
  <c r="I20" i="5" s="1"/>
  <c r="F20" i="5"/>
  <c r="H20" i="5" s="1"/>
  <c r="O20" i="5" s="1"/>
  <c r="G19" i="5"/>
  <c r="I19" i="5" s="1"/>
  <c r="F19" i="5"/>
  <c r="H19" i="5" s="1"/>
  <c r="AG19" i="5" s="1"/>
  <c r="G18" i="5"/>
  <c r="I18" i="5" s="1"/>
  <c r="F18" i="5"/>
  <c r="H18" i="5" s="1"/>
  <c r="G17" i="5"/>
  <c r="I17" i="5" s="1"/>
  <c r="F17" i="5"/>
  <c r="H17" i="5" s="1"/>
  <c r="M17" i="5" s="1"/>
  <c r="G16" i="5"/>
  <c r="I16" i="5" s="1"/>
  <c r="F16" i="5"/>
  <c r="H16" i="5" s="1"/>
  <c r="G15" i="5"/>
  <c r="I15" i="5" s="1"/>
  <c r="F15" i="5"/>
  <c r="H15" i="5" s="1"/>
  <c r="Q15" i="5" s="1"/>
  <c r="G14" i="5"/>
  <c r="I14" i="5" s="1"/>
  <c r="F14" i="5"/>
  <c r="H14" i="5" s="1"/>
  <c r="G13" i="5"/>
  <c r="I13" i="5" s="1"/>
  <c r="F13" i="5"/>
  <c r="H13" i="5" s="1"/>
  <c r="AE13" i="5" s="1"/>
  <c r="G12" i="5"/>
  <c r="I12" i="5" s="1"/>
  <c r="F12" i="5"/>
  <c r="H12" i="5" s="1"/>
  <c r="O12" i="5" s="1"/>
  <c r="G11" i="5"/>
  <c r="I11" i="5" s="1"/>
  <c r="F11" i="5"/>
  <c r="H11" i="5" s="1"/>
  <c r="AG11" i="5" s="1"/>
  <c r="G10" i="5"/>
  <c r="I10" i="5" s="1"/>
  <c r="F10" i="5"/>
  <c r="H10" i="5" s="1"/>
  <c r="G9" i="5"/>
  <c r="I9" i="5" s="1"/>
  <c r="F9" i="5"/>
  <c r="H9" i="5" s="1"/>
  <c r="M9" i="5" s="1"/>
  <c r="G8" i="5"/>
  <c r="I8" i="5" s="1"/>
  <c r="F8" i="5"/>
  <c r="H8" i="5" s="1"/>
  <c r="G7" i="5"/>
  <c r="I7" i="5" s="1"/>
  <c r="F7" i="5"/>
  <c r="H7" i="5" s="1"/>
  <c r="Q7" i="5" s="1"/>
  <c r="G6" i="5"/>
  <c r="I6" i="5" s="1"/>
  <c r="F6" i="5"/>
  <c r="H6" i="5" s="1"/>
  <c r="AH6" i="5" s="1"/>
  <c r="G5" i="5"/>
  <c r="I5" i="5" s="1"/>
  <c r="F5" i="5"/>
  <c r="H5" i="5" s="1"/>
  <c r="AE5" i="5" s="1"/>
  <c r="G4" i="5"/>
  <c r="I4" i="5" s="1"/>
  <c r="F4" i="5"/>
  <c r="H4" i="5" s="1"/>
  <c r="O4" i="5" s="1"/>
  <c r="G3" i="5"/>
  <c r="I3" i="5" s="1"/>
  <c r="F3" i="5"/>
  <c r="H3" i="5" s="1"/>
  <c r="AH3" i="5" s="1"/>
  <c r="C28" i="4"/>
  <c r="G27" i="4"/>
  <c r="I27" i="4" s="1"/>
  <c r="F27" i="4"/>
  <c r="H27" i="4" s="1"/>
  <c r="G26" i="4"/>
  <c r="I26" i="4" s="1"/>
  <c r="F26" i="4"/>
  <c r="H26" i="4" s="1"/>
  <c r="G25" i="4"/>
  <c r="I25" i="4" s="1"/>
  <c r="F25" i="4"/>
  <c r="H25" i="4" s="1"/>
  <c r="G24" i="4"/>
  <c r="I24" i="4" s="1"/>
  <c r="F24" i="4"/>
  <c r="H24" i="4" s="1"/>
  <c r="G23" i="4"/>
  <c r="I23" i="4" s="1"/>
  <c r="F23" i="4"/>
  <c r="H23" i="4" s="1"/>
  <c r="U23" i="4" s="1"/>
  <c r="G22" i="4"/>
  <c r="I22" i="4" s="1"/>
  <c r="F22" i="4"/>
  <c r="H22" i="4" s="1"/>
  <c r="G21" i="4"/>
  <c r="I21" i="4" s="1"/>
  <c r="F21" i="4"/>
  <c r="H21" i="4" s="1"/>
  <c r="M21" i="4" s="1"/>
  <c r="G20" i="4"/>
  <c r="I20" i="4" s="1"/>
  <c r="F20" i="4"/>
  <c r="H20" i="4" s="1"/>
  <c r="Y20" i="4" s="1"/>
  <c r="G19" i="4"/>
  <c r="I19" i="4" s="1"/>
  <c r="F19" i="4"/>
  <c r="H19" i="4" s="1"/>
  <c r="Y19" i="4" s="1"/>
  <c r="G18" i="4"/>
  <c r="I18" i="4" s="1"/>
  <c r="F18" i="4"/>
  <c r="H18" i="4" s="1"/>
  <c r="G17" i="4"/>
  <c r="I17" i="4" s="1"/>
  <c r="F17" i="4"/>
  <c r="H17" i="4" s="1"/>
  <c r="T17" i="4" s="1"/>
  <c r="G16" i="4"/>
  <c r="I16" i="4" s="1"/>
  <c r="F16" i="4"/>
  <c r="H16" i="4" s="1"/>
  <c r="G15" i="4"/>
  <c r="I15" i="4" s="1"/>
  <c r="F15" i="4"/>
  <c r="H15" i="4" s="1"/>
  <c r="G14" i="4"/>
  <c r="I14" i="4" s="1"/>
  <c r="F14" i="4"/>
  <c r="H14" i="4" s="1"/>
  <c r="G13" i="4"/>
  <c r="I13" i="4" s="1"/>
  <c r="F13" i="4"/>
  <c r="H13" i="4" s="1"/>
  <c r="AX13" i="4" s="1"/>
  <c r="G12" i="4"/>
  <c r="I12" i="4" s="1"/>
  <c r="F12" i="4"/>
  <c r="H12" i="4" s="1"/>
  <c r="G11" i="4"/>
  <c r="I11" i="4" s="1"/>
  <c r="F11" i="4"/>
  <c r="H11" i="4" s="1"/>
  <c r="AK11" i="4" s="1"/>
  <c r="G10" i="4"/>
  <c r="I10" i="4" s="1"/>
  <c r="F10" i="4"/>
  <c r="H10" i="4" s="1"/>
  <c r="AC10" i="4" s="1"/>
  <c r="G9" i="4"/>
  <c r="I9" i="4" s="1"/>
  <c r="F9" i="4"/>
  <c r="H9" i="4" s="1"/>
  <c r="AJ9" i="4" s="1"/>
  <c r="G8" i="4"/>
  <c r="I8" i="4" s="1"/>
  <c r="F8" i="4"/>
  <c r="H8" i="4" s="1"/>
  <c r="G7" i="4"/>
  <c r="I7" i="4" s="1"/>
  <c r="F7" i="4"/>
  <c r="H7" i="4" s="1"/>
  <c r="AJ7" i="4" s="1"/>
  <c r="G6" i="4"/>
  <c r="I6" i="4" s="1"/>
  <c r="F6" i="4"/>
  <c r="H6" i="4" s="1"/>
  <c r="G5" i="4"/>
  <c r="I5" i="4" s="1"/>
  <c r="F5" i="4"/>
  <c r="H5" i="4" s="1"/>
  <c r="AJ5" i="4" s="1"/>
  <c r="G4" i="4"/>
  <c r="I4" i="4" s="1"/>
  <c r="F4" i="4"/>
  <c r="H4" i="4" s="1"/>
  <c r="G3" i="4"/>
  <c r="H30" i="4" s="1"/>
  <c r="F3" i="4"/>
  <c r="H3" i="4" s="1"/>
  <c r="DF3" i="4" s="1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33" i="3"/>
  <c r="L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M3" i="3"/>
  <c r="C28" i="3"/>
  <c r="G27" i="3"/>
  <c r="I27" i="3" s="1"/>
  <c r="F27" i="3"/>
  <c r="H27" i="3" s="1"/>
  <c r="G26" i="3"/>
  <c r="I26" i="3" s="1"/>
  <c r="F26" i="3"/>
  <c r="H26" i="3" s="1"/>
  <c r="S27" i="3" s="1"/>
  <c r="G25" i="3"/>
  <c r="I25" i="3" s="1"/>
  <c r="F25" i="3"/>
  <c r="H25" i="3" s="1"/>
  <c r="S26" i="3" s="1"/>
  <c r="G24" i="3"/>
  <c r="I24" i="3" s="1"/>
  <c r="F24" i="3"/>
  <c r="H24" i="3" s="1"/>
  <c r="S25" i="3" s="1"/>
  <c r="G23" i="3"/>
  <c r="I23" i="3" s="1"/>
  <c r="F23" i="3"/>
  <c r="H23" i="3" s="1"/>
  <c r="S24" i="3" s="1"/>
  <c r="G22" i="3"/>
  <c r="I22" i="3" s="1"/>
  <c r="F22" i="3"/>
  <c r="H22" i="3" s="1"/>
  <c r="S23" i="3" s="1"/>
  <c r="G21" i="3"/>
  <c r="I21" i="3" s="1"/>
  <c r="F21" i="3"/>
  <c r="H21" i="3" s="1"/>
  <c r="S22" i="3" s="1"/>
  <c r="G20" i="3"/>
  <c r="I20" i="3" s="1"/>
  <c r="F20" i="3"/>
  <c r="H20" i="3" s="1"/>
  <c r="G19" i="3"/>
  <c r="I19" i="3" s="1"/>
  <c r="F19" i="3"/>
  <c r="H19" i="3" s="1"/>
  <c r="Z20" i="3" s="1"/>
  <c r="G18" i="3"/>
  <c r="I18" i="3" s="1"/>
  <c r="F18" i="3"/>
  <c r="H18" i="3" s="1"/>
  <c r="G17" i="3"/>
  <c r="I17" i="3" s="1"/>
  <c r="F17" i="3"/>
  <c r="H17" i="3" s="1"/>
  <c r="O18" i="3" s="1"/>
  <c r="G16" i="3"/>
  <c r="I16" i="3" s="1"/>
  <c r="F16" i="3"/>
  <c r="H16" i="3" s="1"/>
  <c r="P17" i="3" s="1"/>
  <c r="G15" i="3"/>
  <c r="I15" i="3" s="1"/>
  <c r="F15" i="3"/>
  <c r="H15" i="3" s="1"/>
  <c r="R16" i="3" s="1"/>
  <c r="G14" i="3"/>
  <c r="I14" i="3" s="1"/>
  <c r="F14" i="3"/>
  <c r="H14" i="3" s="1"/>
  <c r="AE15" i="3" s="1"/>
  <c r="G13" i="3"/>
  <c r="I13" i="3" s="1"/>
  <c r="F13" i="3"/>
  <c r="H13" i="3" s="1"/>
  <c r="W14" i="3" s="1"/>
  <c r="G12" i="3"/>
  <c r="I12" i="3" s="1"/>
  <c r="F12" i="3"/>
  <c r="H12" i="3" s="1"/>
  <c r="O13" i="3" s="1"/>
  <c r="G11" i="3"/>
  <c r="I11" i="3" s="1"/>
  <c r="F11" i="3"/>
  <c r="H11" i="3" s="1"/>
  <c r="N12" i="3" s="1"/>
  <c r="G10" i="3"/>
  <c r="I10" i="3" s="1"/>
  <c r="F10" i="3"/>
  <c r="H10" i="3" s="1"/>
  <c r="G9" i="3"/>
  <c r="I9" i="3" s="1"/>
  <c r="F9" i="3"/>
  <c r="H9" i="3" s="1"/>
  <c r="N10" i="3" s="1"/>
  <c r="G8" i="3"/>
  <c r="I8" i="3" s="1"/>
  <c r="F8" i="3"/>
  <c r="H8" i="3" s="1"/>
  <c r="N9" i="3" s="1"/>
  <c r="G7" i="3"/>
  <c r="I7" i="3" s="1"/>
  <c r="F7" i="3"/>
  <c r="H7" i="3" s="1"/>
  <c r="AT8" i="3" s="1"/>
  <c r="G6" i="3"/>
  <c r="I6" i="3" s="1"/>
  <c r="F6" i="3"/>
  <c r="H6" i="3" s="1"/>
  <c r="G5" i="3"/>
  <c r="I5" i="3" s="1"/>
  <c r="F5" i="3"/>
  <c r="H5" i="3" s="1"/>
  <c r="AD6" i="3" s="1"/>
  <c r="G4" i="3"/>
  <c r="I4" i="3" s="1"/>
  <c r="F4" i="3"/>
  <c r="H4" i="3" s="1"/>
  <c r="N5" i="3" s="1"/>
  <c r="G3" i="3"/>
  <c r="I3" i="3" s="1"/>
  <c r="F3" i="3"/>
  <c r="H3" i="3" s="1"/>
  <c r="AM4" i="3" s="1"/>
  <c r="AJ12" i="2"/>
  <c r="AJ22" i="2"/>
  <c r="AJ21" i="2"/>
  <c r="AJ20" i="2"/>
  <c r="AJ19" i="2"/>
  <c r="AJ18" i="2"/>
  <c r="AJ17" i="2"/>
  <c r="AJ16" i="2"/>
  <c r="AJ15" i="2"/>
  <c r="AJ14" i="2"/>
  <c r="AJ13" i="2"/>
  <c r="AJ11" i="2"/>
  <c r="AJ10" i="2"/>
  <c r="AJ4" i="2"/>
  <c r="AJ5" i="2"/>
  <c r="AJ6" i="2"/>
  <c r="AJ7" i="2"/>
  <c r="AJ8" i="2"/>
  <c r="AJ9" i="2"/>
  <c r="AJ3" i="2"/>
  <c r="AG31" i="2"/>
  <c r="AE15" i="2"/>
  <c r="AE43" i="2"/>
  <c r="AD23" i="2"/>
  <c r="AC6" i="2"/>
  <c r="AC27" i="2"/>
  <c r="AB9" i="2"/>
  <c r="AB32" i="2"/>
  <c r="AA14" i="2"/>
  <c r="AA34" i="2"/>
  <c r="Z18" i="2"/>
  <c r="Z39" i="2"/>
  <c r="Y13" i="2"/>
  <c r="Y29" i="2"/>
  <c r="W12" i="2"/>
  <c r="W28" i="2"/>
  <c r="V4" i="2"/>
  <c r="V20" i="2"/>
  <c r="V36" i="2"/>
  <c r="U13" i="2"/>
  <c r="U29" i="2"/>
  <c r="T4" i="2"/>
  <c r="T20" i="2"/>
  <c r="T36" i="2"/>
  <c r="S12" i="2"/>
  <c r="S28" i="2"/>
  <c r="R4" i="2"/>
  <c r="R20" i="2"/>
  <c r="R36" i="2"/>
  <c r="Q13" i="2"/>
  <c r="Q29" i="2"/>
  <c r="R3" i="2"/>
  <c r="N39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23" i="2"/>
  <c r="L13" i="2"/>
  <c r="L14" i="2"/>
  <c r="L15" i="2"/>
  <c r="L16" i="2"/>
  <c r="L17" i="2"/>
  <c r="L18" i="2"/>
  <c r="L19" i="2"/>
  <c r="L20" i="2"/>
  <c r="L21" i="2"/>
  <c r="L22" i="2"/>
  <c r="L12" i="2"/>
  <c r="L4" i="2"/>
  <c r="L5" i="2"/>
  <c r="L6" i="2"/>
  <c r="L7" i="2"/>
  <c r="L8" i="2"/>
  <c r="L9" i="2"/>
  <c r="L10" i="2"/>
  <c r="L11" i="2"/>
  <c r="L3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4" i="1"/>
  <c r="D9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4" i="1"/>
  <c r="F4" i="2"/>
  <c r="H4" i="2" s="1"/>
  <c r="N5" i="2" s="1"/>
  <c r="F5" i="2"/>
  <c r="H5" i="2" s="1"/>
  <c r="O4" i="2" s="1"/>
  <c r="F6" i="2"/>
  <c r="H6" i="2" s="1"/>
  <c r="P4" i="2" s="1"/>
  <c r="F7" i="2"/>
  <c r="H7" i="2" s="1"/>
  <c r="Q16" i="2" s="1"/>
  <c r="F8" i="2"/>
  <c r="H8" i="2" s="1"/>
  <c r="R9" i="2" s="1"/>
  <c r="F9" i="2"/>
  <c r="H9" i="2" s="1"/>
  <c r="S4" i="2" s="1"/>
  <c r="F10" i="2"/>
  <c r="H10" i="2" s="1"/>
  <c r="T13" i="2" s="1"/>
  <c r="F11" i="2"/>
  <c r="H11" i="2" s="1"/>
  <c r="U8" i="2" s="1"/>
  <c r="F12" i="2"/>
  <c r="H12" i="2" s="1"/>
  <c r="V17" i="2" s="1"/>
  <c r="F13" i="2"/>
  <c r="H13" i="2" s="1"/>
  <c r="F14" i="2"/>
  <c r="H14" i="2" s="1"/>
  <c r="X9" i="2" s="1"/>
  <c r="F15" i="2"/>
  <c r="H15" i="2" s="1"/>
  <c r="Y16" i="2" s="1"/>
  <c r="F16" i="2"/>
  <c r="H16" i="2" s="1"/>
  <c r="Z26" i="2" s="1"/>
  <c r="F17" i="2"/>
  <c r="H17" i="2" s="1"/>
  <c r="AA25" i="2" s="1"/>
  <c r="F18" i="2"/>
  <c r="H18" i="2" s="1"/>
  <c r="AB24" i="2" s="1"/>
  <c r="F19" i="2"/>
  <c r="H19" i="2" s="1"/>
  <c r="AC22" i="2" s="1"/>
  <c r="F20" i="2"/>
  <c r="H20" i="2" s="1"/>
  <c r="AD22" i="2" s="1"/>
  <c r="F21" i="2"/>
  <c r="H21" i="2" s="1"/>
  <c r="F22" i="2"/>
  <c r="H22" i="2" s="1"/>
  <c r="F23" i="2"/>
  <c r="H23" i="2" s="1"/>
  <c r="AG7" i="2" s="1"/>
  <c r="F24" i="2"/>
  <c r="H24" i="2" s="1"/>
  <c r="F25" i="2"/>
  <c r="H25" i="2" s="1"/>
  <c r="F26" i="2"/>
  <c r="H26" i="2" s="1"/>
  <c r="F27" i="2"/>
  <c r="H27" i="2" s="1"/>
  <c r="F3" i="2"/>
  <c r="H3" i="2" s="1"/>
  <c r="M10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3" i="2"/>
  <c r="I3" i="2" s="1"/>
  <c r="C28" i="2"/>
  <c r="T9" i="4" l="1"/>
  <c r="AP24" i="3"/>
  <c r="AA4" i="3"/>
  <c r="Z23" i="3"/>
  <c r="O20" i="3"/>
  <c r="AX18" i="3"/>
  <c r="AU13" i="3"/>
  <c r="V12" i="3"/>
  <c r="AL4" i="3"/>
  <c r="AX24" i="3"/>
  <c r="S4" i="3"/>
  <c r="AP27" i="3"/>
  <c r="R26" i="3"/>
  <c r="AH24" i="3"/>
  <c r="AX22" i="3"/>
  <c r="AE18" i="3"/>
  <c r="AL10" i="3"/>
  <c r="AH26" i="3"/>
  <c r="AH27" i="3"/>
  <c r="AX25" i="3"/>
  <c r="Z24" i="3"/>
  <c r="AP22" i="3"/>
  <c r="AV17" i="3"/>
  <c r="Z27" i="3"/>
  <c r="AP25" i="3"/>
  <c r="R24" i="3"/>
  <c r="AH22" i="3"/>
  <c r="Z17" i="3"/>
  <c r="AT5" i="3"/>
  <c r="AX27" i="3"/>
  <c r="R23" i="3"/>
  <c r="R27" i="3"/>
  <c r="AH25" i="3"/>
  <c r="AX23" i="3"/>
  <c r="Z22" i="3"/>
  <c r="AU16" i="3"/>
  <c r="Z26" i="3"/>
  <c r="AX26" i="3"/>
  <c r="Z25" i="3"/>
  <c r="AP23" i="3"/>
  <c r="R22" i="3"/>
  <c r="X16" i="3"/>
  <c r="AT4" i="3"/>
  <c r="AP26" i="3"/>
  <c r="R25" i="3"/>
  <c r="AH23" i="3"/>
  <c r="AH20" i="3"/>
  <c r="O11" i="3"/>
  <c r="W11" i="3"/>
  <c r="AE11" i="3"/>
  <c r="AM11" i="3"/>
  <c r="AU11" i="3"/>
  <c r="P11" i="3"/>
  <c r="X11" i="3"/>
  <c r="AF11" i="3"/>
  <c r="AN11" i="3"/>
  <c r="AV11" i="3"/>
  <c r="Q11" i="3"/>
  <c r="Y11" i="3"/>
  <c r="AG11" i="3"/>
  <c r="AO11" i="3"/>
  <c r="AW11" i="3"/>
  <c r="R11" i="3"/>
  <c r="Z11" i="3"/>
  <c r="AH11" i="3"/>
  <c r="AP11" i="3"/>
  <c r="AX11" i="3"/>
  <c r="S11" i="3"/>
  <c r="AA11" i="3"/>
  <c r="AI11" i="3"/>
  <c r="AQ11" i="3"/>
  <c r="AY11" i="3"/>
  <c r="L11" i="3"/>
  <c r="T11" i="3"/>
  <c r="AB11" i="3"/>
  <c r="AJ11" i="3"/>
  <c r="AR11" i="3"/>
  <c r="M11" i="3"/>
  <c r="U11" i="3"/>
  <c r="AC11" i="3"/>
  <c r="AK11" i="3"/>
  <c r="AS11" i="3"/>
  <c r="N11" i="3"/>
  <c r="V11" i="3"/>
  <c r="AD11" i="3"/>
  <c r="AL11" i="3"/>
  <c r="AT11" i="3"/>
  <c r="Q19" i="3"/>
  <c r="Y19" i="3"/>
  <c r="AG19" i="3"/>
  <c r="AO19" i="3"/>
  <c r="AW19" i="3"/>
  <c r="S19" i="3"/>
  <c r="AA19" i="3"/>
  <c r="AI19" i="3"/>
  <c r="AQ19" i="3"/>
  <c r="AY19" i="3"/>
  <c r="L19" i="3"/>
  <c r="T19" i="3"/>
  <c r="AB19" i="3"/>
  <c r="AJ19" i="3"/>
  <c r="AR19" i="3"/>
  <c r="M19" i="3"/>
  <c r="U19" i="3"/>
  <c r="AC19" i="3"/>
  <c r="AK19" i="3"/>
  <c r="AS19" i="3"/>
  <c r="N19" i="3"/>
  <c r="V19" i="3"/>
  <c r="AD19" i="3"/>
  <c r="AL19" i="3"/>
  <c r="AT19" i="3"/>
  <c r="O19" i="3"/>
  <c r="AH19" i="3"/>
  <c r="P19" i="3"/>
  <c r="AM19" i="3"/>
  <c r="R19" i="3"/>
  <c r="AN19" i="3"/>
  <c r="W19" i="3"/>
  <c r="AP19" i="3"/>
  <c r="X19" i="3"/>
  <c r="AU19" i="3"/>
  <c r="AF19" i="3"/>
  <c r="Z19" i="3"/>
  <c r="AV19" i="3"/>
  <c r="AE19" i="3"/>
  <c r="AX19" i="3"/>
  <c r="O7" i="3"/>
  <c r="W7" i="3"/>
  <c r="AE7" i="3"/>
  <c r="AM7" i="3"/>
  <c r="AU7" i="3"/>
  <c r="P7" i="3"/>
  <c r="X7" i="3"/>
  <c r="AF7" i="3"/>
  <c r="AN7" i="3"/>
  <c r="AV7" i="3"/>
  <c r="Q7" i="3"/>
  <c r="Y7" i="3"/>
  <c r="AG7" i="3"/>
  <c r="AO7" i="3"/>
  <c r="AW7" i="3"/>
  <c r="R7" i="3"/>
  <c r="Z7" i="3"/>
  <c r="AH7" i="3"/>
  <c r="AP7" i="3"/>
  <c r="AX7" i="3"/>
  <c r="S7" i="3"/>
  <c r="AA7" i="3"/>
  <c r="AI7" i="3"/>
  <c r="AQ7" i="3"/>
  <c r="AY7" i="3"/>
  <c r="L7" i="3"/>
  <c r="T7" i="3"/>
  <c r="AB7" i="3"/>
  <c r="AJ7" i="3"/>
  <c r="AR7" i="3"/>
  <c r="M7" i="3"/>
  <c r="U7" i="3"/>
  <c r="AC7" i="3"/>
  <c r="AK7" i="3"/>
  <c r="AS7" i="3"/>
  <c r="Q21" i="3"/>
  <c r="Y21" i="3"/>
  <c r="AG21" i="3"/>
  <c r="AO21" i="3"/>
  <c r="AW21" i="3"/>
  <c r="S21" i="3"/>
  <c r="AA21" i="3"/>
  <c r="AI21" i="3"/>
  <c r="AQ21" i="3"/>
  <c r="AY21" i="3"/>
  <c r="L21" i="3"/>
  <c r="M21" i="3"/>
  <c r="U21" i="3"/>
  <c r="AC21" i="3"/>
  <c r="AK21" i="3"/>
  <c r="AS21" i="3"/>
  <c r="N21" i="3"/>
  <c r="V21" i="3"/>
  <c r="AD21" i="3"/>
  <c r="AL21" i="3"/>
  <c r="AT21" i="3"/>
  <c r="AV21" i="3"/>
  <c r="AD7" i="3"/>
  <c r="P15" i="3"/>
  <c r="X15" i="3"/>
  <c r="AF15" i="3"/>
  <c r="AN15" i="3"/>
  <c r="Q15" i="3"/>
  <c r="Y15" i="3"/>
  <c r="AG15" i="3"/>
  <c r="AO15" i="3"/>
  <c r="AW15" i="3"/>
  <c r="R15" i="3"/>
  <c r="Z15" i="3"/>
  <c r="AH15" i="3"/>
  <c r="AP15" i="3"/>
  <c r="AX15" i="3"/>
  <c r="S15" i="3"/>
  <c r="AA15" i="3"/>
  <c r="AI15" i="3"/>
  <c r="AQ15" i="3"/>
  <c r="AY15" i="3"/>
  <c r="L15" i="3"/>
  <c r="T15" i="3"/>
  <c r="AB15" i="3"/>
  <c r="AJ15" i="3"/>
  <c r="AR15" i="3"/>
  <c r="M15" i="3"/>
  <c r="U15" i="3"/>
  <c r="AC15" i="3"/>
  <c r="AK15" i="3"/>
  <c r="AS15" i="3"/>
  <c r="N15" i="3"/>
  <c r="V15" i="3"/>
  <c r="AD15" i="3"/>
  <c r="AL15" i="3"/>
  <c r="AT15" i="3"/>
  <c r="Z4" i="3"/>
  <c r="R4" i="3"/>
  <c r="AS4" i="3"/>
  <c r="AK4" i="3"/>
  <c r="AW27" i="3"/>
  <c r="AO27" i="3"/>
  <c r="AG27" i="3"/>
  <c r="Y27" i="3"/>
  <c r="Q27" i="3"/>
  <c r="AW26" i="3"/>
  <c r="AO26" i="3"/>
  <c r="AG26" i="3"/>
  <c r="Y26" i="3"/>
  <c r="Q26" i="3"/>
  <c r="AW25" i="3"/>
  <c r="AO25" i="3"/>
  <c r="AG25" i="3"/>
  <c r="Y25" i="3"/>
  <c r="Q25" i="3"/>
  <c r="AW24" i="3"/>
  <c r="AO24" i="3"/>
  <c r="AG24" i="3"/>
  <c r="Y24" i="3"/>
  <c r="Q24" i="3"/>
  <c r="AW23" i="3"/>
  <c r="AO23" i="3"/>
  <c r="AG23" i="3"/>
  <c r="Y23" i="3"/>
  <c r="Q23" i="3"/>
  <c r="AW22" i="3"/>
  <c r="AO22" i="3"/>
  <c r="AG22" i="3"/>
  <c r="Y22" i="3"/>
  <c r="Q22" i="3"/>
  <c r="AU21" i="3"/>
  <c r="AE21" i="3"/>
  <c r="O21" i="3"/>
  <c r="AF20" i="3"/>
  <c r="AV18" i="3"/>
  <c r="Z18" i="3"/>
  <c r="AU17" i="3"/>
  <c r="X17" i="3"/>
  <c r="AP16" i="3"/>
  <c r="W16" i="3"/>
  <c r="W15" i="3"/>
  <c r="AM13" i="3"/>
  <c r="AD10" i="3"/>
  <c r="V7" i="3"/>
  <c r="AL5" i="3"/>
  <c r="O8" i="3"/>
  <c r="W8" i="3"/>
  <c r="AE8" i="3"/>
  <c r="AM8" i="3"/>
  <c r="AU8" i="3"/>
  <c r="P8" i="3"/>
  <c r="X8" i="3"/>
  <c r="AF8" i="3"/>
  <c r="AN8" i="3"/>
  <c r="AV8" i="3"/>
  <c r="Q8" i="3"/>
  <c r="Y8" i="3"/>
  <c r="AG8" i="3"/>
  <c r="AO8" i="3"/>
  <c r="AW8" i="3"/>
  <c r="R8" i="3"/>
  <c r="Z8" i="3"/>
  <c r="AH8" i="3"/>
  <c r="AP8" i="3"/>
  <c r="AX8" i="3"/>
  <c r="S8" i="3"/>
  <c r="AA8" i="3"/>
  <c r="AI8" i="3"/>
  <c r="AQ8" i="3"/>
  <c r="AY8" i="3"/>
  <c r="L8" i="3"/>
  <c r="T8" i="3"/>
  <c r="AB8" i="3"/>
  <c r="AJ8" i="3"/>
  <c r="AR8" i="3"/>
  <c r="M8" i="3"/>
  <c r="U8" i="3"/>
  <c r="AC8" i="3"/>
  <c r="AK8" i="3"/>
  <c r="AS8" i="3"/>
  <c r="Y4" i="3"/>
  <c r="Q4" i="3"/>
  <c r="AR4" i="3"/>
  <c r="AJ4" i="3"/>
  <c r="AV27" i="3"/>
  <c r="AN27" i="3"/>
  <c r="AF27" i="3"/>
  <c r="X27" i="3"/>
  <c r="P27" i="3"/>
  <c r="AV26" i="3"/>
  <c r="AN26" i="3"/>
  <c r="AF26" i="3"/>
  <c r="X26" i="3"/>
  <c r="P26" i="3"/>
  <c r="AV25" i="3"/>
  <c r="AN25" i="3"/>
  <c r="AF25" i="3"/>
  <c r="X25" i="3"/>
  <c r="P25" i="3"/>
  <c r="AV24" i="3"/>
  <c r="AN24" i="3"/>
  <c r="AF24" i="3"/>
  <c r="X24" i="3"/>
  <c r="P24" i="3"/>
  <c r="AV23" i="3"/>
  <c r="AN23" i="3"/>
  <c r="AF23" i="3"/>
  <c r="X23" i="3"/>
  <c r="P23" i="3"/>
  <c r="AV22" i="3"/>
  <c r="AN22" i="3"/>
  <c r="AF22" i="3"/>
  <c r="X22" i="3"/>
  <c r="P22" i="3"/>
  <c r="AR21" i="3"/>
  <c r="AB21" i="3"/>
  <c r="AX20" i="3"/>
  <c r="AE20" i="3"/>
  <c r="AU18" i="3"/>
  <c r="X18" i="3"/>
  <c r="AP17" i="3"/>
  <c r="W17" i="3"/>
  <c r="AN16" i="3"/>
  <c r="O15" i="3"/>
  <c r="AE13" i="3"/>
  <c r="V10" i="3"/>
  <c r="AL8" i="3"/>
  <c r="N7" i="3"/>
  <c r="AD5" i="3"/>
  <c r="AF21" i="3"/>
  <c r="O12" i="3"/>
  <c r="W12" i="3"/>
  <c r="AE12" i="3"/>
  <c r="AN12" i="3"/>
  <c r="AV12" i="3"/>
  <c r="P12" i="3"/>
  <c r="X12" i="3"/>
  <c r="AG12" i="3"/>
  <c r="AO12" i="3"/>
  <c r="AW12" i="3"/>
  <c r="Q12" i="3"/>
  <c r="Y12" i="3"/>
  <c r="AH12" i="3"/>
  <c r="AP12" i="3"/>
  <c r="AX12" i="3"/>
  <c r="R12" i="3"/>
  <c r="Z12" i="3"/>
  <c r="AI12" i="3"/>
  <c r="AQ12" i="3"/>
  <c r="AY12" i="3"/>
  <c r="AF12" i="3"/>
  <c r="S12" i="3"/>
  <c r="AA12" i="3"/>
  <c r="AJ12" i="3"/>
  <c r="AR12" i="3"/>
  <c r="L12" i="3"/>
  <c r="T12" i="3"/>
  <c r="AB12" i="3"/>
  <c r="AK12" i="3"/>
  <c r="AS12" i="3"/>
  <c r="M12" i="3"/>
  <c r="U12" i="3"/>
  <c r="AC12" i="3"/>
  <c r="AL12" i="3"/>
  <c r="AT12" i="3"/>
  <c r="Q16" i="3"/>
  <c r="Y16" i="3"/>
  <c r="AG16" i="3"/>
  <c r="AO16" i="3"/>
  <c r="AW16" i="3"/>
  <c r="S16" i="3"/>
  <c r="AA16" i="3"/>
  <c r="AI16" i="3"/>
  <c r="AQ16" i="3"/>
  <c r="AY16" i="3"/>
  <c r="L16" i="3"/>
  <c r="T16" i="3"/>
  <c r="AB16" i="3"/>
  <c r="AJ16" i="3"/>
  <c r="AR16" i="3"/>
  <c r="M16" i="3"/>
  <c r="U16" i="3"/>
  <c r="AC16" i="3"/>
  <c r="AK16" i="3"/>
  <c r="AS16" i="3"/>
  <c r="N16" i="3"/>
  <c r="V16" i="3"/>
  <c r="AD16" i="3"/>
  <c r="AL16" i="3"/>
  <c r="AT16" i="3"/>
  <c r="M4" i="3"/>
  <c r="X4" i="3"/>
  <c r="P4" i="3"/>
  <c r="AY4" i="3"/>
  <c r="AQ4" i="3"/>
  <c r="AI4" i="3"/>
  <c r="AU27" i="3"/>
  <c r="AM27" i="3"/>
  <c r="AE27" i="3"/>
  <c r="W27" i="3"/>
  <c r="O27" i="3"/>
  <c r="AU26" i="3"/>
  <c r="AM26" i="3"/>
  <c r="AE26" i="3"/>
  <c r="W26" i="3"/>
  <c r="O26" i="3"/>
  <c r="AU25" i="3"/>
  <c r="AM25" i="3"/>
  <c r="AE25" i="3"/>
  <c r="W25" i="3"/>
  <c r="O25" i="3"/>
  <c r="AU24" i="3"/>
  <c r="AM24" i="3"/>
  <c r="AE24" i="3"/>
  <c r="W24" i="3"/>
  <c r="O24" i="3"/>
  <c r="AU23" i="3"/>
  <c r="AM23" i="3"/>
  <c r="AE23" i="3"/>
  <c r="W23" i="3"/>
  <c r="O23" i="3"/>
  <c r="AU22" i="3"/>
  <c r="AM22" i="3"/>
  <c r="AE22" i="3"/>
  <c r="W22" i="3"/>
  <c r="O22" i="3"/>
  <c r="AP21" i="3"/>
  <c r="Z21" i="3"/>
  <c r="AV20" i="3"/>
  <c r="AP18" i="3"/>
  <c r="W18" i="3"/>
  <c r="AN17" i="3"/>
  <c r="R17" i="3"/>
  <c r="AM16" i="3"/>
  <c r="P16" i="3"/>
  <c r="AU14" i="3"/>
  <c r="W13" i="3"/>
  <c r="AD8" i="3"/>
  <c r="AT6" i="3"/>
  <c r="V5" i="3"/>
  <c r="O9" i="3"/>
  <c r="W9" i="3"/>
  <c r="AE9" i="3"/>
  <c r="AM9" i="3"/>
  <c r="AU9" i="3"/>
  <c r="P9" i="3"/>
  <c r="X9" i="3"/>
  <c r="AF9" i="3"/>
  <c r="AN9" i="3"/>
  <c r="AV9" i="3"/>
  <c r="Q9" i="3"/>
  <c r="Y9" i="3"/>
  <c r="AG9" i="3"/>
  <c r="AO9" i="3"/>
  <c r="AW9" i="3"/>
  <c r="R9" i="3"/>
  <c r="Z9" i="3"/>
  <c r="AH9" i="3"/>
  <c r="AP9" i="3"/>
  <c r="AX9" i="3"/>
  <c r="S9" i="3"/>
  <c r="AA9" i="3"/>
  <c r="AI9" i="3"/>
  <c r="AQ9" i="3"/>
  <c r="AY9" i="3"/>
  <c r="L9" i="3"/>
  <c r="T9" i="3"/>
  <c r="AB9" i="3"/>
  <c r="AJ9" i="3"/>
  <c r="AR9" i="3"/>
  <c r="M9" i="3"/>
  <c r="U9" i="3"/>
  <c r="AC9" i="3"/>
  <c r="AK9" i="3"/>
  <c r="AS9" i="3"/>
  <c r="Q20" i="3"/>
  <c r="Y20" i="3"/>
  <c r="AG20" i="3"/>
  <c r="AO20" i="3"/>
  <c r="AW20" i="3"/>
  <c r="S20" i="3"/>
  <c r="AA20" i="3"/>
  <c r="AI20" i="3"/>
  <c r="AQ20" i="3"/>
  <c r="AY20" i="3"/>
  <c r="L20" i="3"/>
  <c r="T20" i="3"/>
  <c r="AB20" i="3"/>
  <c r="AJ20" i="3"/>
  <c r="AR20" i="3"/>
  <c r="M20" i="3"/>
  <c r="U20" i="3"/>
  <c r="AC20" i="3"/>
  <c r="AK20" i="3"/>
  <c r="AS20" i="3"/>
  <c r="N20" i="3"/>
  <c r="V20" i="3"/>
  <c r="AD20" i="3"/>
  <c r="AL20" i="3"/>
  <c r="AT20" i="3"/>
  <c r="AE4" i="3"/>
  <c r="W4" i="3"/>
  <c r="O4" i="3"/>
  <c r="AX4" i="3"/>
  <c r="AP4" i="3"/>
  <c r="AH4" i="3"/>
  <c r="AT27" i="3"/>
  <c r="AL27" i="3"/>
  <c r="AD27" i="3"/>
  <c r="V27" i="3"/>
  <c r="N27" i="3"/>
  <c r="AT26" i="3"/>
  <c r="AL26" i="3"/>
  <c r="AD26" i="3"/>
  <c r="V26" i="3"/>
  <c r="N26" i="3"/>
  <c r="AT25" i="3"/>
  <c r="AL25" i="3"/>
  <c r="AD25" i="3"/>
  <c r="V25" i="3"/>
  <c r="N25" i="3"/>
  <c r="AT24" i="3"/>
  <c r="AL24" i="3"/>
  <c r="AD24" i="3"/>
  <c r="V24" i="3"/>
  <c r="N24" i="3"/>
  <c r="AT23" i="3"/>
  <c r="AL23" i="3"/>
  <c r="AD23" i="3"/>
  <c r="V23" i="3"/>
  <c r="N23" i="3"/>
  <c r="AT22" i="3"/>
  <c r="AL22" i="3"/>
  <c r="AD22" i="3"/>
  <c r="V22" i="3"/>
  <c r="N22" i="3"/>
  <c r="AN21" i="3"/>
  <c r="X21" i="3"/>
  <c r="AU20" i="3"/>
  <c r="X20" i="3"/>
  <c r="AN18" i="3"/>
  <c r="R18" i="3"/>
  <c r="AM17" i="3"/>
  <c r="AH16" i="3"/>
  <c r="O16" i="3"/>
  <c r="AM14" i="3"/>
  <c r="AT9" i="3"/>
  <c r="V8" i="3"/>
  <c r="AL6" i="3"/>
  <c r="P21" i="3"/>
  <c r="O5" i="3"/>
  <c r="W5" i="3"/>
  <c r="AE5" i="3"/>
  <c r="AM5" i="3"/>
  <c r="AU5" i="3"/>
  <c r="P5" i="3"/>
  <c r="X5" i="3"/>
  <c r="AF5" i="3"/>
  <c r="AN5" i="3"/>
  <c r="AV5" i="3"/>
  <c r="Q5" i="3"/>
  <c r="Y5" i="3"/>
  <c r="AG5" i="3"/>
  <c r="AO5" i="3"/>
  <c r="AW5" i="3"/>
  <c r="R5" i="3"/>
  <c r="Z5" i="3"/>
  <c r="AH5" i="3"/>
  <c r="AP5" i="3"/>
  <c r="AX5" i="3"/>
  <c r="S5" i="3"/>
  <c r="AA5" i="3"/>
  <c r="AI5" i="3"/>
  <c r="AQ5" i="3"/>
  <c r="AY5" i="3"/>
  <c r="L5" i="3"/>
  <c r="T5" i="3"/>
  <c r="AB5" i="3"/>
  <c r="AJ5" i="3"/>
  <c r="AR5" i="3"/>
  <c r="M5" i="3"/>
  <c r="U5" i="3"/>
  <c r="AC5" i="3"/>
  <c r="AK5" i="3"/>
  <c r="AS5" i="3"/>
  <c r="P13" i="3"/>
  <c r="X13" i="3"/>
  <c r="AF13" i="3"/>
  <c r="AN13" i="3"/>
  <c r="AV13" i="3"/>
  <c r="Q13" i="3"/>
  <c r="Y13" i="3"/>
  <c r="AG13" i="3"/>
  <c r="AO13" i="3"/>
  <c r="AW13" i="3"/>
  <c r="R13" i="3"/>
  <c r="Z13" i="3"/>
  <c r="AH13" i="3"/>
  <c r="AP13" i="3"/>
  <c r="AX13" i="3"/>
  <c r="S13" i="3"/>
  <c r="AA13" i="3"/>
  <c r="AI13" i="3"/>
  <c r="AQ13" i="3"/>
  <c r="AY13" i="3"/>
  <c r="L13" i="3"/>
  <c r="T13" i="3"/>
  <c r="AB13" i="3"/>
  <c r="AJ13" i="3"/>
  <c r="AR13" i="3"/>
  <c r="M13" i="3"/>
  <c r="U13" i="3"/>
  <c r="AC13" i="3"/>
  <c r="AK13" i="3"/>
  <c r="AS13" i="3"/>
  <c r="N13" i="3"/>
  <c r="V13" i="3"/>
  <c r="AD13" i="3"/>
  <c r="AL13" i="3"/>
  <c r="AT13" i="3"/>
  <c r="Q17" i="3"/>
  <c r="Y17" i="3"/>
  <c r="AG17" i="3"/>
  <c r="AO17" i="3"/>
  <c r="AW17" i="3"/>
  <c r="S17" i="3"/>
  <c r="AA17" i="3"/>
  <c r="AI17" i="3"/>
  <c r="AQ17" i="3"/>
  <c r="AY17" i="3"/>
  <c r="L17" i="3"/>
  <c r="T17" i="3"/>
  <c r="AB17" i="3"/>
  <c r="AJ17" i="3"/>
  <c r="AR17" i="3"/>
  <c r="M17" i="3"/>
  <c r="U17" i="3"/>
  <c r="AC17" i="3"/>
  <c r="AK17" i="3"/>
  <c r="AS17" i="3"/>
  <c r="N17" i="3"/>
  <c r="V17" i="3"/>
  <c r="AD17" i="3"/>
  <c r="AL17" i="3"/>
  <c r="AT17" i="3"/>
  <c r="AD4" i="3"/>
  <c r="V4" i="3"/>
  <c r="N4" i="3"/>
  <c r="AW4" i="3"/>
  <c r="AO4" i="3"/>
  <c r="AG4" i="3"/>
  <c r="AS27" i="3"/>
  <c r="AK27" i="3"/>
  <c r="AC27" i="3"/>
  <c r="U27" i="3"/>
  <c r="M27" i="3"/>
  <c r="AS26" i="3"/>
  <c r="AK26" i="3"/>
  <c r="AC26" i="3"/>
  <c r="U26" i="3"/>
  <c r="M26" i="3"/>
  <c r="AS25" i="3"/>
  <c r="AK25" i="3"/>
  <c r="AC25" i="3"/>
  <c r="U25" i="3"/>
  <c r="M25" i="3"/>
  <c r="AS24" i="3"/>
  <c r="AK24" i="3"/>
  <c r="AC24" i="3"/>
  <c r="U24" i="3"/>
  <c r="M24" i="3"/>
  <c r="AS23" i="3"/>
  <c r="AK23" i="3"/>
  <c r="AC23" i="3"/>
  <c r="U23" i="3"/>
  <c r="M23" i="3"/>
  <c r="AS22" i="3"/>
  <c r="AK22" i="3"/>
  <c r="AC22" i="3"/>
  <c r="U22" i="3"/>
  <c r="M22" i="3"/>
  <c r="AM21" i="3"/>
  <c r="W21" i="3"/>
  <c r="AP20" i="3"/>
  <c r="W20" i="3"/>
  <c r="AM18" i="3"/>
  <c r="P18" i="3"/>
  <c r="AH17" i="3"/>
  <c r="O17" i="3"/>
  <c r="AF16" i="3"/>
  <c r="AV15" i="3"/>
  <c r="AE14" i="3"/>
  <c r="AU12" i="3"/>
  <c r="AL9" i="3"/>
  <c r="N8" i="3"/>
  <c r="O6" i="3"/>
  <c r="W6" i="3"/>
  <c r="AE6" i="3"/>
  <c r="AM6" i="3"/>
  <c r="AU6" i="3"/>
  <c r="P6" i="3"/>
  <c r="X6" i="3"/>
  <c r="AF6" i="3"/>
  <c r="AN6" i="3"/>
  <c r="AV6" i="3"/>
  <c r="Q6" i="3"/>
  <c r="Y6" i="3"/>
  <c r="AG6" i="3"/>
  <c r="AO6" i="3"/>
  <c r="AW6" i="3"/>
  <c r="R6" i="3"/>
  <c r="Z6" i="3"/>
  <c r="AH6" i="3"/>
  <c r="AP6" i="3"/>
  <c r="AX6" i="3"/>
  <c r="S6" i="3"/>
  <c r="AA6" i="3"/>
  <c r="AI6" i="3"/>
  <c r="AQ6" i="3"/>
  <c r="AY6" i="3"/>
  <c r="L6" i="3"/>
  <c r="T6" i="3"/>
  <c r="AB6" i="3"/>
  <c r="AJ6" i="3"/>
  <c r="AR6" i="3"/>
  <c r="M6" i="3"/>
  <c r="U6" i="3"/>
  <c r="AC6" i="3"/>
  <c r="AK6" i="3"/>
  <c r="AS6" i="3"/>
  <c r="O10" i="3"/>
  <c r="W10" i="3"/>
  <c r="AE10" i="3"/>
  <c r="AM10" i="3"/>
  <c r="AU10" i="3"/>
  <c r="P10" i="3"/>
  <c r="X10" i="3"/>
  <c r="AF10" i="3"/>
  <c r="AN10" i="3"/>
  <c r="AV10" i="3"/>
  <c r="Q10" i="3"/>
  <c r="Y10" i="3"/>
  <c r="AG10" i="3"/>
  <c r="AO10" i="3"/>
  <c r="AW10" i="3"/>
  <c r="R10" i="3"/>
  <c r="Z10" i="3"/>
  <c r="AH10" i="3"/>
  <c r="AP10" i="3"/>
  <c r="AX10" i="3"/>
  <c r="S10" i="3"/>
  <c r="AA10" i="3"/>
  <c r="AI10" i="3"/>
  <c r="AQ10" i="3"/>
  <c r="AY10" i="3"/>
  <c r="L10" i="3"/>
  <c r="T10" i="3"/>
  <c r="AB10" i="3"/>
  <c r="AJ10" i="3"/>
  <c r="AR10" i="3"/>
  <c r="M10" i="3"/>
  <c r="U10" i="3"/>
  <c r="AC10" i="3"/>
  <c r="AK10" i="3"/>
  <c r="AS10" i="3"/>
  <c r="AC4" i="3"/>
  <c r="U4" i="3"/>
  <c r="L4" i="3"/>
  <c r="AV4" i="3"/>
  <c r="AN4" i="3"/>
  <c r="AF4" i="3"/>
  <c r="AR27" i="3"/>
  <c r="AJ27" i="3"/>
  <c r="AB27" i="3"/>
  <c r="T27" i="3"/>
  <c r="L27" i="3"/>
  <c r="AR26" i="3"/>
  <c r="AJ26" i="3"/>
  <c r="AB26" i="3"/>
  <c r="T26" i="3"/>
  <c r="L26" i="3"/>
  <c r="AR25" i="3"/>
  <c r="AJ25" i="3"/>
  <c r="AB25" i="3"/>
  <c r="T25" i="3"/>
  <c r="L25" i="3"/>
  <c r="AR24" i="3"/>
  <c r="AJ24" i="3"/>
  <c r="AB24" i="3"/>
  <c r="T24" i="3"/>
  <c r="L24" i="3"/>
  <c r="AR23" i="3"/>
  <c r="AJ23" i="3"/>
  <c r="AB23" i="3"/>
  <c r="T23" i="3"/>
  <c r="L23" i="3"/>
  <c r="AR22" i="3"/>
  <c r="AJ22" i="3"/>
  <c r="AB22" i="3"/>
  <c r="T22" i="3"/>
  <c r="L22" i="3"/>
  <c r="AJ21" i="3"/>
  <c r="T21" i="3"/>
  <c r="AN20" i="3"/>
  <c r="R20" i="3"/>
  <c r="AH18" i="3"/>
  <c r="AF17" i="3"/>
  <c r="AX16" i="3"/>
  <c r="AE16" i="3"/>
  <c r="AU15" i="3"/>
  <c r="AM12" i="3"/>
  <c r="AD9" i="3"/>
  <c r="AT7" i="3"/>
  <c r="V6" i="3"/>
  <c r="P14" i="3"/>
  <c r="X14" i="3"/>
  <c r="AF14" i="3"/>
  <c r="AN14" i="3"/>
  <c r="AV14" i="3"/>
  <c r="Q14" i="3"/>
  <c r="Y14" i="3"/>
  <c r="AG14" i="3"/>
  <c r="AO14" i="3"/>
  <c r="AW14" i="3"/>
  <c r="R14" i="3"/>
  <c r="Z14" i="3"/>
  <c r="AH14" i="3"/>
  <c r="AP14" i="3"/>
  <c r="AX14" i="3"/>
  <c r="S14" i="3"/>
  <c r="AA14" i="3"/>
  <c r="AI14" i="3"/>
  <c r="AQ14" i="3"/>
  <c r="AY14" i="3"/>
  <c r="L14" i="3"/>
  <c r="T14" i="3"/>
  <c r="AB14" i="3"/>
  <c r="AJ14" i="3"/>
  <c r="AR14" i="3"/>
  <c r="M14" i="3"/>
  <c r="U14" i="3"/>
  <c r="AC14" i="3"/>
  <c r="AK14" i="3"/>
  <c r="AS14" i="3"/>
  <c r="N14" i="3"/>
  <c r="V14" i="3"/>
  <c r="AD14" i="3"/>
  <c r="AL14" i="3"/>
  <c r="AT14" i="3"/>
  <c r="Q18" i="3"/>
  <c r="Y18" i="3"/>
  <c r="AG18" i="3"/>
  <c r="AO18" i="3"/>
  <c r="AW18" i="3"/>
  <c r="S18" i="3"/>
  <c r="AA18" i="3"/>
  <c r="AI18" i="3"/>
  <c r="AQ18" i="3"/>
  <c r="AY18" i="3"/>
  <c r="L18" i="3"/>
  <c r="T18" i="3"/>
  <c r="AB18" i="3"/>
  <c r="AJ18" i="3"/>
  <c r="AR18" i="3"/>
  <c r="M18" i="3"/>
  <c r="U18" i="3"/>
  <c r="AC18" i="3"/>
  <c r="AK18" i="3"/>
  <c r="AS18" i="3"/>
  <c r="N18" i="3"/>
  <c r="V18" i="3"/>
  <c r="AD18" i="3"/>
  <c r="AL18" i="3"/>
  <c r="AT18" i="3"/>
  <c r="AB4" i="3"/>
  <c r="T4" i="3"/>
  <c r="AU4" i="3"/>
  <c r="AY27" i="3"/>
  <c r="AQ27" i="3"/>
  <c r="AI27" i="3"/>
  <c r="AA27" i="3"/>
  <c r="AY26" i="3"/>
  <c r="AQ26" i="3"/>
  <c r="AI26" i="3"/>
  <c r="AA26" i="3"/>
  <c r="AY25" i="3"/>
  <c r="AQ25" i="3"/>
  <c r="AI25" i="3"/>
  <c r="AA25" i="3"/>
  <c r="AY24" i="3"/>
  <c r="AQ24" i="3"/>
  <c r="AI24" i="3"/>
  <c r="AA24" i="3"/>
  <c r="AY23" i="3"/>
  <c r="AQ23" i="3"/>
  <c r="AI23" i="3"/>
  <c r="AA23" i="3"/>
  <c r="AY22" i="3"/>
  <c r="AQ22" i="3"/>
  <c r="AI22" i="3"/>
  <c r="AA22" i="3"/>
  <c r="AX21" i="3"/>
  <c r="AH21" i="3"/>
  <c r="R21" i="3"/>
  <c r="AM20" i="3"/>
  <c r="P20" i="3"/>
  <c r="AF18" i="3"/>
  <c r="AX17" i="3"/>
  <c r="AE17" i="3"/>
  <c r="AV16" i="3"/>
  <c r="Z16" i="3"/>
  <c r="AM15" i="3"/>
  <c r="O14" i="3"/>
  <c r="AD12" i="3"/>
  <c r="AT10" i="3"/>
  <c r="V9" i="3"/>
  <c r="AL7" i="3"/>
  <c r="N6" i="3"/>
  <c r="AD10" i="5"/>
  <c r="S10" i="5"/>
  <c r="AA10" i="5"/>
  <c r="AE10" i="5"/>
  <c r="L10" i="5"/>
  <c r="T10" i="5"/>
  <c r="AB10" i="5"/>
  <c r="AF10" i="5"/>
  <c r="M10" i="5"/>
  <c r="U10" i="5"/>
  <c r="AC10" i="5"/>
  <c r="AG10" i="5"/>
  <c r="N10" i="5"/>
  <c r="V10" i="5"/>
  <c r="AH10" i="5"/>
  <c r="O10" i="5"/>
  <c r="W10" i="5"/>
  <c r="P10" i="5"/>
  <c r="X10" i="5"/>
  <c r="Q10" i="5"/>
  <c r="Y10" i="5"/>
  <c r="R10" i="5"/>
  <c r="Z10" i="5"/>
  <c r="AH14" i="5"/>
  <c r="S14" i="5"/>
  <c r="AA14" i="5"/>
  <c r="L14" i="5"/>
  <c r="T14" i="5"/>
  <c r="AB14" i="5"/>
  <c r="M14" i="5"/>
  <c r="U14" i="5"/>
  <c r="AC14" i="5"/>
  <c r="N14" i="5"/>
  <c r="V14" i="5"/>
  <c r="AD14" i="5"/>
  <c r="O14" i="5"/>
  <c r="W14" i="5"/>
  <c r="AE14" i="5"/>
  <c r="P14" i="5"/>
  <c r="X14" i="5"/>
  <c r="AF14" i="5"/>
  <c r="Q14" i="5"/>
  <c r="Y14" i="5"/>
  <c r="AG14" i="5"/>
  <c r="R14" i="5"/>
  <c r="Z14" i="5"/>
  <c r="AD18" i="5"/>
  <c r="S18" i="5"/>
  <c r="AA18" i="5"/>
  <c r="AE18" i="5"/>
  <c r="L18" i="5"/>
  <c r="T18" i="5"/>
  <c r="AB18" i="5"/>
  <c r="AF18" i="5"/>
  <c r="M18" i="5"/>
  <c r="U18" i="5"/>
  <c r="AC18" i="5"/>
  <c r="AG18" i="5"/>
  <c r="N18" i="5"/>
  <c r="V18" i="5"/>
  <c r="AH18" i="5"/>
  <c r="O18" i="5"/>
  <c r="W18" i="5"/>
  <c r="P18" i="5"/>
  <c r="X18" i="5"/>
  <c r="Q18" i="5"/>
  <c r="Y18" i="5"/>
  <c r="R18" i="5"/>
  <c r="Z18" i="5"/>
  <c r="AH22" i="5"/>
  <c r="S22" i="5"/>
  <c r="AA22" i="5"/>
  <c r="L22" i="5"/>
  <c r="T22" i="5"/>
  <c r="AB22" i="5"/>
  <c r="M22" i="5"/>
  <c r="U22" i="5"/>
  <c r="AC22" i="5"/>
  <c r="N22" i="5"/>
  <c r="V22" i="5"/>
  <c r="AD22" i="5"/>
  <c r="O22" i="5"/>
  <c r="W22" i="5"/>
  <c r="AE22" i="5"/>
  <c r="P22" i="5"/>
  <c r="X22" i="5"/>
  <c r="AF22" i="5"/>
  <c r="Q22" i="5"/>
  <c r="Y22" i="5"/>
  <c r="AG22" i="5"/>
  <c r="R22" i="5"/>
  <c r="Z22" i="5"/>
  <c r="AF8" i="5"/>
  <c r="O8" i="5"/>
  <c r="W8" i="5"/>
  <c r="AG8" i="5"/>
  <c r="P8" i="5"/>
  <c r="X8" i="5"/>
  <c r="AH8" i="5"/>
  <c r="Q8" i="5"/>
  <c r="Y8" i="5"/>
  <c r="R8" i="5"/>
  <c r="Z8" i="5"/>
  <c r="S8" i="5"/>
  <c r="AA8" i="5"/>
  <c r="L8" i="5"/>
  <c r="T8" i="5"/>
  <c r="AB8" i="5"/>
  <c r="AD8" i="5"/>
  <c r="M8" i="5"/>
  <c r="U8" i="5"/>
  <c r="AC8" i="5"/>
  <c r="AE8" i="5"/>
  <c r="N8" i="5"/>
  <c r="V8" i="5"/>
  <c r="AF16" i="5"/>
  <c r="O16" i="5"/>
  <c r="W16" i="5"/>
  <c r="AG16" i="5"/>
  <c r="P16" i="5"/>
  <c r="X16" i="5"/>
  <c r="AH16" i="5"/>
  <c r="Q16" i="5"/>
  <c r="Y16" i="5"/>
  <c r="R16" i="5"/>
  <c r="Z16" i="5"/>
  <c r="S16" i="5"/>
  <c r="AA16" i="5"/>
  <c r="L16" i="5"/>
  <c r="T16" i="5"/>
  <c r="AB16" i="5"/>
  <c r="AD16" i="5"/>
  <c r="M16" i="5"/>
  <c r="U16" i="5"/>
  <c r="AC16" i="5"/>
  <c r="AE16" i="5"/>
  <c r="N16" i="5"/>
  <c r="V16" i="5"/>
  <c r="L3" i="5"/>
  <c r="X3" i="5"/>
  <c r="P3" i="5"/>
  <c r="X23" i="5"/>
  <c r="P23" i="5"/>
  <c r="AB21" i="5"/>
  <c r="T21" i="5"/>
  <c r="L21" i="5"/>
  <c r="V20" i="5"/>
  <c r="N20" i="5"/>
  <c r="X19" i="5"/>
  <c r="P19" i="5"/>
  <c r="AB17" i="5"/>
  <c r="T17" i="5"/>
  <c r="L17" i="5"/>
  <c r="X15" i="5"/>
  <c r="P15" i="5"/>
  <c r="AB13" i="5"/>
  <c r="T13" i="5"/>
  <c r="L13" i="5"/>
  <c r="V12" i="5"/>
  <c r="N12" i="5"/>
  <c r="X11" i="5"/>
  <c r="P11" i="5"/>
  <c r="AB9" i="5"/>
  <c r="T9" i="5"/>
  <c r="L9" i="5"/>
  <c r="X7" i="5"/>
  <c r="P7" i="5"/>
  <c r="Z6" i="5"/>
  <c r="R6" i="5"/>
  <c r="AB5" i="5"/>
  <c r="T5" i="5"/>
  <c r="L5" i="5"/>
  <c r="V4" i="5"/>
  <c r="N4" i="5"/>
  <c r="AG3" i="5"/>
  <c r="AD21" i="5"/>
  <c r="AF19" i="5"/>
  <c r="AH17" i="5"/>
  <c r="AD13" i="5"/>
  <c r="AF11" i="5"/>
  <c r="AH9" i="5"/>
  <c r="AG6" i="5"/>
  <c r="AD5" i="5"/>
  <c r="M3" i="5"/>
  <c r="W3" i="5"/>
  <c r="O3" i="5"/>
  <c r="W23" i="5"/>
  <c r="O23" i="5"/>
  <c r="AA21" i="5"/>
  <c r="S21" i="5"/>
  <c r="AC20" i="5"/>
  <c r="U20" i="5"/>
  <c r="M20" i="5"/>
  <c r="W19" i="5"/>
  <c r="O19" i="5"/>
  <c r="AA17" i="5"/>
  <c r="S17" i="5"/>
  <c r="W15" i="5"/>
  <c r="O15" i="5"/>
  <c r="AA13" i="5"/>
  <c r="S13" i="5"/>
  <c r="AC12" i="5"/>
  <c r="U12" i="5"/>
  <c r="M12" i="5"/>
  <c r="W11" i="5"/>
  <c r="O11" i="5"/>
  <c r="AA9" i="5"/>
  <c r="S9" i="5"/>
  <c r="W7" i="5"/>
  <c r="O7" i="5"/>
  <c r="Y6" i="5"/>
  <c r="Q6" i="5"/>
  <c r="AA5" i="5"/>
  <c r="S5" i="5"/>
  <c r="AC4" i="5"/>
  <c r="U4" i="5"/>
  <c r="M4" i="5"/>
  <c r="AF3" i="5"/>
  <c r="AH20" i="5"/>
  <c r="AE19" i="5"/>
  <c r="AG17" i="5"/>
  <c r="AH12" i="5"/>
  <c r="AE11" i="5"/>
  <c r="AG9" i="5"/>
  <c r="AF6" i="5"/>
  <c r="AH4" i="5"/>
  <c r="AE3" i="5"/>
  <c r="V3" i="5"/>
  <c r="N3" i="5"/>
  <c r="V23" i="5"/>
  <c r="N23" i="5"/>
  <c r="Z21" i="5"/>
  <c r="R21" i="5"/>
  <c r="AB20" i="5"/>
  <c r="T20" i="5"/>
  <c r="L20" i="5"/>
  <c r="V19" i="5"/>
  <c r="N19" i="5"/>
  <c r="Z17" i="5"/>
  <c r="R17" i="5"/>
  <c r="V15" i="5"/>
  <c r="N15" i="5"/>
  <c r="Z13" i="5"/>
  <c r="R13" i="5"/>
  <c r="AB12" i="5"/>
  <c r="T12" i="5"/>
  <c r="L12" i="5"/>
  <c r="V11" i="5"/>
  <c r="N11" i="5"/>
  <c r="Z9" i="5"/>
  <c r="R9" i="5"/>
  <c r="V7" i="5"/>
  <c r="N7" i="5"/>
  <c r="X6" i="5"/>
  <c r="P6" i="5"/>
  <c r="Z5" i="5"/>
  <c r="R5" i="5"/>
  <c r="AB4" i="5"/>
  <c r="T4" i="5"/>
  <c r="L4" i="5"/>
  <c r="AH23" i="5"/>
  <c r="AG20" i="5"/>
  <c r="AD19" i="5"/>
  <c r="AF17" i="5"/>
  <c r="AH15" i="5"/>
  <c r="AG12" i="5"/>
  <c r="AD11" i="5"/>
  <c r="AF9" i="5"/>
  <c r="AH7" i="5"/>
  <c r="AE6" i="5"/>
  <c r="AG4" i="5"/>
  <c r="H30" i="5"/>
  <c r="AC3" i="5"/>
  <c r="U3" i="5"/>
  <c r="AC23" i="5"/>
  <c r="U23" i="5"/>
  <c r="M23" i="5"/>
  <c r="Y21" i="5"/>
  <c r="Q21" i="5"/>
  <c r="AA20" i="5"/>
  <c r="S20" i="5"/>
  <c r="AC19" i="5"/>
  <c r="U19" i="5"/>
  <c r="M19" i="5"/>
  <c r="Y17" i="5"/>
  <c r="Q17" i="5"/>
  <c r="AC15" i="5"/>
  <c r="U15" i="5"/>
  <c r="M15" i="5"/>
  <c r="Y13" i="5"/>
  <c r="Q13" i="5"/>
  <c r="AA12" i="5"/>
  <c r="S12" i="5"/>
  <c r="AC11" i="5"/>
  <c r="U11" i="5"/>
  <c r="M11" i="5"/>
  <c r="Y9" i="5"/>
  <c r="Q9" i="5"/>
  <c r="AC7" i="5"/>
  <c r="U7" i="5"/>
  <c r="M7" i="5"/>
  <c r="W6" i="5"/>
  <c r="O6" i="5"/>
  <c r="Y5" i="5"/>
  <c r="Q5" i="5"/>
  <c r="AA4" i="5"/>
  <c r="S4" i="5"/>
  <c r="AG23" i="5"/>
  <c r="AF20" i="5"/>
  <c r="AE17" i="5"/>
  <c r="AG15" i="5"/>
  <c r="AF12" i="5"/>
  <c r="AE9" i="5"/>
  <c r="AG7" i="5"/>
  <c r="AD6" i="5"/>
  <c r="AF4" i="5"/>
  <c r="AB3" i="5"/>
  <c r="T3" i="5"/>
  <c r="AB23" i="5"/>
  <c r="T23" i="5"/>
  <c r="L23" i="5"/>
  <c r="X21" i="5"/>
  <c r="P21" i="5"/>
  <c r="Z20" i="5"/>
  <c r="R20" i="5"/>
  <c r="AB19" i="5"/>
  <c r="T19" i="5"/>
  <c r="L19" i="5"/>
  <c r="X17" i="5"/>
  <c r="P17" i="5"/>
  <c r="AB15" i="5"/>
  <c r="T15" i="5"/>
  <c r="L15" i="5"/>
  <c r="X13" i="5"/>
  <c r="P13" i="5"/>
  <c r="Z12" i="5"/>
  <c r="R12" i="5"/>
  <c r="AB11" i="5"/>
  <c r="T11" i="5"/>
  <c r="L11" i="5"/>
  <c r="X9" i="5"/>
  <c r="P9" i="5"/>
  <c r="AB7" i="5"/>
  <c r="T7" i="5"/>
  <c r="L7" i="5"/>
  <c r="V6" i="5"/>
  <c r="N6" i="5"/>
  <c r="X5" i="5"/>
  <c r="P5" i="5"/>
  <c r="Z4" i="5"/>
  <c r="R4" i="5"/>
  <c r="AF23" i="5"/>
  <c r="AH21" i="5"/>
  <c r="AE20" i="5"/>
  <c r="AD17" i="5"/>
  <c r="AF15" i="5"/>
  <c r="AH13" i="5"/>
  <c r="AE12" i="5"/>
  <c r="AD9" i="5"/>
  <c r="AF7" i="5"/>
  <c r="AH5" i="5"/>
  <c r="AE4" i="5"/>
  <c r="AA3" i="5"/>
  <c r="S3" i="5"/>
  <c r="AA23" i="5"/>
  <c r="S23" i="5"/>
  <c r="W21" i="5"/>
  <c r="O21" i="5"/>
  <c r="Y20" i="5"/>
  <c r="Q20" i="5"/>
  <c r="AA19" i="5"/>
  <c r="S19" i="5"/>
  <c r="W17" i="5"/>
  <c r="O17" i="5"/>
  <c r="AA15" i="5"/>
  <c r="S15" i="5"/>
  <c r="W13" i="5"/>
  <c r="O13" i="5"/>
  <c r="Y12" i="5"/>
  <c r="Q12" i="5"/>
  <c r="AA11" i="5"/>
  <c r="S11" i="5"/>
  <c r="W9" i="5"/>
  <c r="O9" i="5"/>
  <c r="AA7" i="5"/>
  <c r="S7" i="5"/>
  <c r="AC6" i="5"/>
  <c r="U6" i="5"/>
  <c r="M6" i="5"/>
  <c r="W5" i="5"/>
  <c r="O5" i="5"/>
  <c r="Y4" i="5"/>
  <c r="Q4" i="5"/>
  <c r="AE23" i="5"/>
  <c r="AG21" i="5"/>
  <c r="AD20" i="5"/>
  <c r="AE15" i="5"/>
  <c r="AG13" i="5"/>
  <c r="AD12" i="5"/>
  <c r="AE7" i="5"/>
  <c r="AG5" i="5"/>
  <c r="AD4" i="5"/>
  <c r="Z3" i="5"/>
  <c r="R3" i="5"/>
  <c r="Z23" i="5"/>
  <c r="R23" i="5"/>
  <c r="V21" i="5"/>
  <c r="N21" i="5"/>
  <c r="X20" i="5"/>
  <c r="P20" i="5"/>
  <c r="Z19" i="5"/>
  <c r="R19" i="5"/>
  <c r="V17" i="5"/>
  <c r="N17" i="5"/>
  <c r="Z15" i="5"/>
  <c r="R15" i="5"/>
  <c r="V13" i="5"/>
  <c r="N13" i="5"/>
  <c r="X12" i="5"/>
  <c r="P12" i="5"/>
  <c r="Z11" i="5"/>
  <c r="R11" i="5"/>
  <c r="V9" i="5"/>
  <c r="N9" i="5"/>
  <c r="Z7" i="5"/>
  <c r="R7" i="5"/>
  <c r="AB6" i="5"/>
  <c r="T6" i="5"/>
  <c r="L6" i="5"/>
  <c r="V5" i="5"/>
  <c r="N5" i="5"/>
  <c r="X4" i="5"/>
  <c r="P4" i="5"/>
  <c r="AD3" i="5"/>
  <c r="AD23" i="5"/>
  <c r="AF21" i="5"/>
  <c r="AH19" i="5"/>
  <c r="AD15" i="5"/>
  <c r="AF13" i="5"/>
  <c r="AH11" i="5"/>
  <c r="AD7" i="5"/>
  <c r="AF5" i="5"/>
  <c r="Y3" i="5"/>
  <c r="Q3" i="5"/>
  <c r="Y23" i="5"/>
  <c r="AC21" i="5"/>
  <c r="U21" i="5"/>
  <c r="M21" i="5"/>
  <c r="W20" i="5"/>
  <c r="Y19" i="5"/>
  <c r="Q19" i="5"/>
  <c r="AC17" i="5"/>
  <c r="U17" i="5"/>
  <c r="Y15" i="5"/>
  <c r="AC13" i="5"/>
  <c r="U13" i="5"/>
  <c r="M13" i="5"/>
  <c r="W12" i="5"/>
  <c r="Y11" i="5"/>
  <c r="Q11" i="5"/>
  <c r="AC9" i="5"/>
  <c r="U9" i="5"/>
  <c r="Y7" i="5"/>
  <c r="AA6" i="5"/>
  <c r="S6" i="5"/>
  <c r="AC5" i="5"/>
  <c r="U5" i="5"/>
  <c r="M5" i="5"/>
  <c r="W4" i="5"/>
  <c r="L3" i="4"/>
  <c r="AK21" i="4"/>
  <c r="AB6" i="4"/>
  <c r="L6" i="4"/>
  <c r="AJ16" i="4"/>
  <c r="M16" i="4"/>
  <c r="AS16" i="4"/>
  <c r="Q21" i="4"/>
  <c r="AG19" i="4"/>
  <c r="L19" i="4"/>
  <c r="BE5" i="4"/>
  <c r="AR3" i="4"/>
  <c r="AK17" i="4"/>
  <c r="AJ3" i="4"/>
  <c r="AB3" i="4"/>
  <c r="S3" i="4"/>
  <c r="AS10" i="4"/>
  <c r="AZ4" i="4"/>
  <c r="BH4" i="4"/>
  <c r="BP4" i="4"/>
  <c r="BX4" i="4"/>
  <c r="CF4" i="4"/>
  <c r="CN4" i="4"/>
  <c r="R4" i="4"/>
  <c r="Z4" i="4"/>
  <c r="AH4" i="4"/>
  <c r="AP4" i="4"/>
  <c r="AX4" i="4"/>
  <c r="BA4" i="4"/>
  <c r="BI4" i="4"/>
  <c r="BQ4" i="4"/>
  <c r="BY4" i="4"/>
  <c r="CG4" i="4"/>
  <c r="CO4" i="4"/>
  <c r="S4" i="4"/>
  <c r="AA4" i="4"/>
  <c r="AI4" i="4"/>
  <c r="AQ4" i="4"/>
  <c r="AY4" i="4"/>
  <c r="BC4" i="4"/>
  <c r="BK4" i="4"/>
  <c r="BS4" i="4"/>
  <c r="CA4" i="4"/>
  <c r="CI4" i="4"/>
  <c r="CQ4" i="4"/>
  <c r="M4" i="4"/>
  <c r="U4" i="4"/>
  <c r="AC4" i="4"/>
  <c r="BD4" i="4"/>
  <c r="BL4" i="4"/>
  <c r="BT4" i="4"/>
  <c r="CB4" i="4"/>
  <c r="CJ4" i="4"/>
  <c r="CR4" i="4"/>
  <c r="N4" i="4"/>
  <c r="V4" i="4"/>
  <c r="AD4" i="4"/>
  <c r="AL4" i="4"/>
  <c r="AT4" i="4"/>
  <c r="BE4" i="4"/>
  <c r="BM4" i="4"/>
  <c r="BU4" i="4"/>
  <c r="CC4" i="4"/>
  <c r="CK4" i="4"/>
  <c r="CS4" i="4"/>
  <c r="O4" i="4"/>
  <c r="W4" i="4"/>
  <c r="AE4" i="4"/>
  <c r="AM4" i="4"/>
  <c r="AU4" i="4"/>
  <c r="BB4" i="4"/>
  <c r="BW4" i="4"/>
  <c r="CT4" i="4"/>
  <c r="AB4" i="4"/>
  <c r="AS4" i="4"/>
  <c r="BF4" i="4"/>
  <c r="BZ4" i="4"/>
  <c r="CU4" i="4"/>
  <c r="AF4" i="4"/>
  <c r="AV4" i="4"/>
  <c r="BG4" i="4"/>
  <c r="CD4" i="4"/>
  <c r="L4" i="4"/>
  <c r="AG4" i="4"/>
  <c r="AW4" i="4"/>
  <c r="BJ4" i="4"/>
  <c r="CE4" i="4"/>
  <c r="P4" i="4"/>
  <c r="AJ4" i="4"/>
  <c r="BN4" i="4"/>
  <c r="CH4" i="4"/>
  <c r="Q4" i="4"/>
  <c r="AK4" i="4"/>
  <c r="BO4" i="4"/>
  <c r="CL4" i="4"/>
  <c r="T4" i="4"/>
  <c r="AN4" i="4"/>
  <c r="AO4" i="4"/>
  <c r="Y4" i="4"/>
  <c r="AR4" i="4"/>
  <c r="BR4" i="4"/>
  <c r="BV4" i="4"/>
  <c r="CP4" i="4"/>
  <c r="CM4" i="4"/>
  <c r="X4" i="4"/>
  <c r="S14" i="4"/>
  <c r="AA14" i="4"/>
  <c r="AI14" i="4"/>
  <c r="AQ14" i="4"/>
  <c r="L14" i="4"/>
  <c r="T14" i="4"/>
  <c r="AB14" i="4"/>
  <c r="AJ14" i="4"/>
  <c r="AR14" i="4"/>
  <c r="O14" i="4"/>
  <c r="W14" i="4"/>
  <c r="AE14" i="4"/>
  <c r="AM14" i="4"/>
  <c r="P14" i="4"/>
  <c r="X14" i="4"/>
  <c r="AF14" i="4"/>
  <c r="AN14" i="4"/>
  <c r="N14" i="4"/>
  <c r="AD14" i="4"/>
  <c r="AT14" i="4"/>
  <c r="Q14" i="4"/>
  <c r="AG14" i="4"/>
  <c r="AU14" i="4"/>
  <c r="R14" i="4"/>
  <c r="AH14" i="4"/>
  <c r="AV14" i="4"/>
  <c r="U14" i="4"/>
  <c r="AK14" i="4"/>
  <c r="AW14" i="4"/>
  <c r="V14" i="4"/>
  <c r="AL14" i="4"/>
  <c r="AX14" i="4"/>
  <c r="Y14" i="4"/>
  <c r="AO14" i="4"/>
  <c r="AY14" i="4"/>
  <c r="Z14" i="4"/>
  <c r="AC14" i="4"/>
  <c r="AP14" i="4"/>
  <c r="AS14" i="4"/>
  <c r="M14" i="4"/>
  <c r="BC8" i="4"/>
  <c r="BK8" i="4"/>
  <c r="BS8" i="4"/>
  <c r="R8" i="4"/>
  <c r="Z8" i="4"/>
  <c r="AH8" i="4"/>
  <c r="AP8" i="4"/>
  <c r="AX8" i="4"/>
  <c r="BD8" i="4"/>
  <c r="BL8" i="4"/>
  <c r="S8" i="4"/>
  <c r="AA8" i="4"/>
  <c r="AI8" i="4"/>
  <c r="AQ8" i="4"/>
  <c r="AY8" i="4"/>
  <c r="BF8" i="4"/>
  <c r="BN8" i="4"/>
  <c r="BG8" i="4"/>
  <c r="BO8" i="4"/>
  <c r="N8" i="4"/>
  <c r="V8" i="4"/>
  <c r="AD8" i="4"/>
  <c r="AL8" i="4"/>
  <c r="AT8" i="4"/>
  <c r="AZ8" i="4"/>
  <c r="BH8" i="4"/>
  <c r="BP8" i="4"/>
  <c r="O8" i="4"/>
  <c r="W8" i="4"/>
  <c r="AE8" i="4"/>
  <c r="AM8" i="4"/>
  <c r="AU8" i="4"/>
  <c r="BB8" i="4"/>
  <c r="M8" i="4"/>
  <c r="AC8" i="4"/>
  <c r="AS8" i="4"/>
  <c r="BE8" i="4"/>
  <c r="P8" i="4"/>
  <c r="AF8" i="4"/>
  <c r="AV8" i="4"/>
  <c r="BI8" i="4"/>
  <c r="Q8" i="4"/>
  <c r="AG8" i="4"/>
  <c r="AW8" i="4"/>
  <c r="BJ8" i="4"/>
  <c r="T8" i="4"/>
  <c r="AJ8" i="4"/>
  <c r="BM8" i="4"/>
  <c r="U8" i="4"/>
  <c r="AK8" i="4"/>
  <c r="BQ8" i="4"/>
  <c r="X8" i="4"/>
  <c r="AN8" i="4"/>
  <c r="BA8" i="4"/>
  <c r="L8" i="4"/>
  <c r="BR8" i="4"/>
  <c r="Y8" i="4"/>
  <c r="AB8" i="4"/>
  <c r="AO8" i="4"/>
  <c r="AR8" i="4"/>
  <c r="N18" i="4"/>
  <c r="V18" i="4"/>
  <c r="AD18" i="4"/>
  <c r="AL18" i="4"/>
  <c r="AT18" i="4"/>
  <c r="O18" i="4"/>
  <c r="W18" i="4"/>
  <c r="AE18" i="4"/>
  <c r="AM18" i="4"/>
  <c r="AU18" i="4"/>
  <c r="P18" i="4"/>
  <c r="X18" i="4"/>
  <c r="AF18" i="4"/>
  <c r="AN18" i="4"/>
  <c r="AV18" i="4"/>
  <c r="Q18" i="4"/>
  <c r="Y18" i="4"/>
  <c r="R18" i="4"/>
  <c r="Z18" i="4"/>
  <c r="AH18" i="4"/>
  <c r="AP18" i="4"/>
  <c r="AX18" i="4"/>
  <c r="S18" i="4"/>
  <c r="AA18" i="4"/>
  <c r="AI18" i="4"/>
  <c r="AQ18" i="4"/>
  <c r="AY18" i="4"/>
  <c r="AG18" i="4"/>
  <c r="AC18" i="4"/>
  <c r="AJ18" i="4"/>
  <c r="L18" i="4"/>
  <c r="AK18" i="4"/>
  <c r="M18" i="4"/>
  <c r="AO18" i="4"/>
  <c r="T18" i="4"/>
  <c r="AR18" i="4"/>
  <c r="U18" i="4"/>
  <c r="AS18" i="4"/>
  <c r="AB18" i="4"/>
  <c r="AW18" i="4"/>
  <c r="S12" i="4"/>
  <c r="AA12" i="4"/>
  <c r="AI12" i="4"/>
  <c r="AQ12" i="4"/>
  <c r="AY12" i="4"/>
  <c r="L12" i="4"/>
  <c r="T12" i="4"/>
  <c r="AB12" i="4"/>
  <c r="AJ12" i="4"/>
  <c r="AR12" i="4"/>
  <c r="O12" i="4"/>
  <c r="W12" i="4"/>
  <c r="AE12" i="4"/>
  <c r="AM12" i="4"/>
  <c r="AU12" i="4"/>
  <c r="P12" i="4"/>
  <c r="X12" i="4"/>
  <c r="AF12" i="4"/>
  <c r="AN12" i="4"/>
  <c r="AV12" i="4"/>
  <c r="N12" i="4"/>
  <c r="AD12" i="4"/>
  <c r="AT12" i="4"/>
  <c r="Q12" i="4"/>
  <c r="AG12" i="4"/>
  <c r="AW12" i="4"/>
  <c r="R12" i="4"/>
  <c r="AH12" i="4"/>
  <c r="AX12" i="4"/>
  <c r="U12" i="4"/>
  <c r="AK12" i="4"/>
  <c r="V12" i="4"/>
  <c r="AL12" i="4"/>
  <c r="Y12" i="4"/>
  <c r="AO12" i="4"/>
  <c r="AP12" i="4"/>
  <c r="AC12" i="4"/>
  <c r="AS12" i="4"/>
  <c r="M12" i="4"/>
  <c r="Z12" i="4"/>
  <c r="N22" i="4"/>
  <c r="V22" i="4"/>
  <c r="AD22" i="4"/>
  <c r="AL22" i="4"/>
  <c r="AT22" i="4"/>
  <c r="O22" i="4"/>
  <c r="W22" i="4"/>
  <c r="AE22" i="4"/>
  <c r="AM22" i="4"/>
  <c r="AU22" i="4"/>
  <c r="R22" i="4"/>
  <c r="Z22" i="4"/>
  <c r="AH22" i="4"/>
  <c r="AP22" i="4"/>
  <c r="AX22" i="4"/>
  <c r="S22" i="4"/>
  <c r="AA22" i="4"/>
  <c r="AI22" i="4"/>
  <c r="AQ22" i="4"/>
  <c r="AY22" i="4"/>
  <c r="T22" i="4"/>
  <c r="AJ22" i="4"/>
  <c r="U22" i="4"/>
  <c r="AK22" i="4"/>
  <c r="Q22" i="4"/>
  <c r="X22" i="4"/>
  <c r="AN22" i="4"/>
  <c r="AG22" i="4"/>
  <c r="Y22" i="4"/>
  <c r="AO22" i="4"/>
  <c r="L22" i="4"/>
  <c r="AB22" i="4"/>
  <c r="AR22" i="4"/>
  <c r="AW22" i="4"/>
  <c r="M22" i="4"/>
  <c r="AC22" i="4"/>
  <c r="AS22" i="4"/>
  <c r="P22" i="4"/>
  <c r="AF22" i="4"/>
  <c r="AV22" i="4"/>
  <c r="N15" i="4"/>
  <c r="V15" i="4"/>
  <c r="AD15" i="4"/>
  <c r="AL15" i="4"/>
  <c r="AT15" i="4"/>
  <c r="O15" i="4"/>
  <c r="W15" i="4"/>
  <c r="AE15" i="4"/>
  <c r="AM15" i="4"/>
  <c r="AU15" i="4"/>
  <c r="P15" i="4"/>
  <c r="X15" i="4"/>
  <c r="AF15" i="4"/>
  <c r="AN15" i="4"/>
  <c r="AV15" i="4"/>
  <c r="Q15" i="4"/>
  <c r="Y15" i="4"/>
  <c r="AG15" i="4"/>
  <c r="AO15" i="4"/>
  <c r="AW15" i="4"/>
  <c r="R15" i="4"/>
  <c r="Z15" i="4"/>
  <c r="AH15" i="4"/>
  <c r="AP15" i="4"/>
  <c r="AX15" i="4"/>
  <c r="S15" i="4"/>
  <c r="AA15" i="4"/>
  <c r="AI15" i="4"/>
  <c r="AQ15" i="4"/>
  <c r="AY15" i="4"/>
  <c r="BG7" i="4"/>
  <c r="BO7" i="4"/>
  <c r="R7" i="4"/>
  <c r="Z7" i="4"/>
  <c r="AH7" i="4"/>
  <c r="AP7" i="4"/>
  <c r="AX7" i="4"/>
  <c r="AZ7" i="4"/>
  <c r="BH7" i="4"/>
  <c r="BP7" i="4"/>
  <c r="S7" i="4"/>
  <c r="AA7" i="4"/>
  <c r="AI7" i="4"/>
  <c r="AQ7" i="4"/>
  <c r="AY7" i="4"/>
  <c r="BB7" i="4"/>
  <c r="BJ7" i="4"/>
  <c r="BR7" i="4"/>
  <c r="BC7" i="4"/>
  <c r="BK7" i="4"/>
  <c r="BS7" i="4"/>
  <c r="N7" i="4"/>
  <c r="V7" i="4"/>
  <c r="AD7" i="4"/>
  <c r="AL7" i="4"/>
  <c r="AT7" i="4"/>
  <c r="BD7" i="4"/>
  <c r="BL7" i="4"/>
  <c r="O7" i="4"/>
  <c r="W7" i="4"/>
  <c r="AE7" i="4"/>
  <c r="AM7" i="4"/>
  <c r="AU7" i="4"/>
  <c r="BE7" i="4"/>
  <c r="U7" i="4"/>
  <c r="AK7" i="4"/>
  <c r="BF7" i="4"/>
  <c r="X7" i="4"/>
  <c r="AN7" i="4"/>
  <c r="BI7" i="4"/>
  <c r="Y7" i="4"/>
  <c r="AO7" i="4"/>
  <c r="BM7" i="4"/>
  <c r="L7" i="4"/>
  <c r="AB7" i="4"/>
  <c r="AR7" i="4"/>
  <c r="BN7" i="4"/>
  <c r="M7" i="4"/>
  <c r="AC7" i="4"/>
  <c r="AS7" i="4"/>
  <c r="BQ7" i="4"/>
  <c r="P7" i="4"/>
  <c r="AF7" i="4"/>
  <c r="AV7" i="4"/>
  <c r="AY3" i="4"/>
  <c r="AQ3" i="4"/>
  <c r="AI3" i="4"/>
  <c r="AA3" i="4"/>
  <c r="R3" i="4"/>
  <c r="AS23" i="4"/>
  <c r="AH23" i="4"/>
  <c r="V23" i="4"/>
  <c r="AJ21" i="4"/>
  <c r="AG20" i="4"/>
  <c r="L20" i="4"/>
  <c r="AC19" i="4"/>
  <c r="AJ17" i="4"/>
  <c r="AR16" i="4"/>
  <c r="L16" i="4"/>
  <c r="T15" i="4"/>
  <c r="AP10" i="4"/>
  <c r="Q9" i="4"/>
  <c r="AG7" i="4"/>
  <c r="AW5" i="4"/>
  <c r="BA5" i="4"/>
  <c r="M20" i="4"/>
  <c r="S13" i="4"/>
  <c r="AA13" i="4"/>
  <c r="AI13" i="4"/>
  <c r="AQ13" i="4"/>
  <c r="AY13" i="4"/>
  <c r="L13" i="4"/>
  <c r="T13" i="4"/>
  <c r="AB13" i="4"/>
  <c r="AJ13" i="4"/>
  <c r="AR13" i="4"/>
  <c r="O13" i="4"/>
  <c r="W13" i="4"/>
  <c r="AE13" i="4"/>
  <c r="AM13" i="4"/>
  <c r="AU13" i="4"/>
  <c r="P13" i="4"/>
  <c r="X13" i="4"/>
  <c r="AF13" i="4"/>
  <c r="AN13" i="4"/>
  <c r="AV13" i="4"/>
  <c r="V13" i="4"/>
  <c r="AL13" i="4"/>
  <c r="Y13" i="4"/>
  <c r="AO13" i="4"/>
  <c r="Z13" i="4"/>
  <c r="AP13" i="4"/>
  <c r="M13" i="4"/>
  <c r="AC13" i="4"/>
  <c r="AS13" i="4"/>
  <c r="N13" i="4"/>
  <c r="AD13" i="4"/>
  <c r="AT13" i="4"/>
  <c r="Q13" i="4"/>
  <c r="AG13" i="4"/>
  <c r="AW13" i="4"/>
  <c r="N21" i="4"/>
  <c r="V21" i="4"/>
  <c r="AD21" i="4"/>
  <c r="AL21" i="4"/>
  <c r="AT21" i="4"/>
  <c r="O21" i="4"/>
  <c r="W21" i="4"/>
  <c r="AE21" i="4"/>
  <c r="AM21" i="4"/>
  <c r="AU21" i="4"/>
  <c r="P21" i="4"/>
  <c r="X21" i="4"/>
  <c r="AF21" i="4"/>
  <c r="AN21" i="4"/>
  <c r="AV21" i="4"/>
  <c r="R21" i="4"/>
  <c r="Z21" i="4"/>
  <c r="AH21" i="4"/>
  <c r="AP21" i="4"/>
  <c r="AX21" i="4"/>
  <c r="S21" i="4"/>
  <c r="AA21" i="4"/>
  <c r="AI21" i="4"/>
  <c r="AQ21" i="4"/>
  <c r="AY21" i="4"/>
  <c r="AX3" i="4"/>
  <c r="AP3" i="4"/>
  <c r="AH3" i="4"/>
  <c r="Z3" i="4"/>
  <c r="P3" i="4"/>
  <c r="AR23" i="4"/>
  <c r="AG23" i="4"/>
  <c r="AG21" i="4"/>
  <c r="L21" i="4"/>
  <c r="AC20" i="4"/>
  <c r="AW19" i="4"/>
  <c r="AB19" i="4"/>
  <c r="AC17" i="4"/>
  <c r="AK16" i="4"/>
  <c r="AS15" i="4"/>
  <c r="M15" i="4"/>
  <c r="AK13" i="4"/>
  <c r="T7" i="4"/>
  <c r="BB6" i="4"/>
  <c r="N23" i="4"/>
  <c r="O23" i="4"/>
  <c r="W23" i="4"/>
  <c r="AE23" i="4"/>
  <c r="AM23" i="4"/>
  <c r="AU23" i="4"/>
  <c r="R23" i="4"/>
  <c r="Z23" i="4"/>
  <c r="S23" i="4"/>
  <c r="AA23" i="4"/>
  <c r="AI23" i="4"/>
  <c r="AQ23" i="4"/>
  <c r="AY23" i="4"/>
  <c r="AJ23" i="4"/>
  <c r="AJ20" i="4"/>
  <c r="BG5" i="4"/>
  <c r="BO5" i="4"/>
  <c r="BW5" i="4"/>
  <c r="CE5" i="4"/>
  <c r="CM5" i="4"/>
  <c r="R5" i="4"/>
  <c r="Z5" i="4"/>
  <c r="AH5" i="4"/>
  <c r="AP5" i="4"/>
  <c r="AX5" i="4"/>
  <c r="AZ5" i="4"/>
  <c r="BH5" i="4"/>
  <c r="BP5" i="4"/>
  <c r="BX5" i="4"/>
  <c r="CF5" i="4"/>
  <c r="CN5" i="4"/>
  <c r="S5" i="4"/>
  <c r="AA5" i="4"/>
  <c r="AI5" i="4"/>
  <c r="AQ5" i="4"/>
  <c r="AY5" i="4"/>
  <c r="BB5" i="4"/>
  <c r="BJ5" i="4"/>
  <c r="BR5" i="4"/>
  <c r="BZ5" i="4"/>
  <c r="CH5" i="4"/>
  <c r="CP5" i="4"/>
  <c r="BC5" i="4"/>
  <c r="BK5" i="4"/>
  <c r="BS5" i="4"/>
  <c r="CA5" i="4"/>
  <c r="CI5" i="4"/>
  <c r="CQ5" i="4"/>
  <c r="N5" i="4"/>
  <c r="V5" i="4"/>
  <c r="AD5" i="4"/>
  <c r="AL5" i="4"/>
  <c r="AT5" i="4"/>
  <c r="BD5" i="4"/>
  <c r="BL5" i="4"/>
  <c r="BT5" i="4"/>
  <c r="CB5" i="4"/>
  <c r="CJ5" i="4"/>
  <c r="CR5" i="4"/>
  <c r="O5" i="4"/>
  <c r="W5" i="4"/>
  <c r="AE5" i="4"/>
  <c r="AM5" i="4"/>
  <c r="AU5" i="4"/>
  <c r="BF5" i="4"/>
  <c r="CC5" i="4"/>
  <c r="U5" i="4"/>
  <c r="AK5" i="4"/>
  <c r="BI5" i="4"/>
  <c r="CD5" i="4"/>
  <c r="X5" i="4"/>
  <c r="AN5" i="4"/>
  <c r="BM5" i="4"/>
  <c r="CG5" i="4"/>
  <c r="Y5" i="4"/>
  <c r="AO5" i="4"/>
  <c r="BN5" i="4"/>
  <c r="CK5" i="4"/>
  <c r="L5" i="4"/>
  <c r="AB5" i="4"/>
  <c r="AR5" i="4"/>
  <c r="BQ5" i="4"/>
  <c r="CL5" i="4"/>
  <c r="M5" i="4"/>
  <c r="AC5" i="4"/>
  <c r="AS5" i="4"/>
  <c r="BU5" i="4"/>
  <c r="CO5" i="4"/>
  <c r="P5" i="4"/>
  <c r="AF5" i="4"/>
  <c r="AV5" i="4"/>
  <c r="S10" i="4"/>
  <c r="AA10" i="4"/>
  <c r="AI10" i="4"/>
  <c r="AQ10" i="4"/>
  <c r="AY10" i="4"/>
  <c r="L10" i="4"/>
  <c r="T10" i="4"/>
  <c r="AB10" i="4"/>
  <c r="AJ10" i="4"/>
  <c r="AR10" i="4"/>
  <c r="O10" i="4"/>
  <c r="W10" i="4"/>
  <c r="AE10" i="4"/>
  <c r="AM10" i="4"/>
  <c r="AU10" i="4"/>
  <c r="P10" i="4"/>
  <c r="X10" i="4"/>
  <c r="AF10" i="4"/>
  <c r="AN10" i="4"/>
  <c r="AV10" i="4"/>
  <c r="N10" i="4"/>
  <c r="AD10" i="4"/>
  <c r="AT10" i="4"/>
  <c r="Q10" i="4"/>
  <c r="AG10" i="4"/>
  <c r="AW10" i="4"/>
  <c r="R10" i="4"/>
  <c r="AH10" i="4"/>
  <c r="AX10" i="4"/>
  <c r="U10" i="4"/>
  <c r="AK10" i="4"/>
  <c r="V10" i="4"/>
  <c r="AL10" i="4"/>
  <c r="Y10" i="4"/>
  <c r="AO10" i="4"/>
  <c r="AW3" i="4"/>
  <c r="AO3" i="4"/>
  <c r="AG3" i="4"/>
  <c r="Y3" i="4"/>
  <c r="O3" i="4"/>
  <c r="AP23" i="4"/>
  <c r="AF23" i="4"/>
  <c r="T23" i="4"/>
  <c r="AC21" i="4"/>
  <c r="AW20" i="4"/>
  <c r="AB20" i="4"/>
  <c r="AS19" i="4"/>
  <c r="AB17" i="4"/>
  <c r="AR15" i="4"/>
  <c r="L15" i="4"/>
  <c r="AH13" i="4"/>
  <c r="AX11" i="4"/>
  <c r="Z10" i="4"/>
  <c r="Q7" i="4"/>
  <c r="AG5" i="4"/>
  <c r="BA6" i="4"/>
  <c r="N16" i="4"/>
  <c r="V16" i="4"/>
  <c r="AD16" i="4"/>
  <c r="AL16" i="4"/>
  <c r="AT16" i="4"/>
  <c r="O16" i="4"/>
  <c r="W16" i="4"/>
  <c r="AE16" i="4"/>
  <c r="AM16" i="4"/>
  <c r="AU16" i="4"/>
  <c r="P16" i="4"/>
  <c r="X16" i="4"/>
  <c r="AF16" i="4"/>
  <c r="AN16" i="4"/>
  <c r="AV16" i="4"/>
  <c r="Q16" i="4"/>
  <c r="Y16" i="4"/>
  <c r="AG16" i="4"/>
  <c r="AO16" i="4"/>
  <c r="AW16" i="4"/>
  <c r="R16" i="4"/>
  <c r="Z16" i="4"/>
  <c r="AH16" i="4"/>
  <c r="AP16" i="4"/>
  <c r="AX16" i="4"/>
  <c r="S16" i="4"/>
  <c r="AA16" i="4"/>
  <c r="AI16" i="4"/>
  <c r="AQ16" i="4"/>
  <c r="AY16" i="4"/>
  <c r="N19" i="4"/>
  <c r="V19" i="4"/>
  <c r="AD19" i="4"/>
  <c r="AL19" i="4"/>
  <c r="AT19" i="4"/>
  <c r="O19" i="4"/>
  <c r="W19" i="4"/>
  <c r="AE19" i="4"/>
  <c r="AM19" i="4"/>
  <c r="AU19" i="4"/>
  <c r="P19" i="4"/>
  <c r="X19" i="4"/>
  <c r="AF19" i="4"/>
  <c r="AN19" i="4"/>
  <c r="AV19" i="4"/>
  <c r="R19" i="4"/>
  <c r="Z19" i="4"/>
  <c r="AH19" i="4"/>
  <c r="AP19" i="4"/>
  <c r="AX19" i="4"/>
  <c r="S19" i="4"/>
  <c r="AA19" i="4"/>
  <c r="AI19" i="4"/>
  <c r="AQ19" i="4"/>
  <c r="AY19" i="4"/>
  <c r="AV3" i="4"/>
  <c r="AN3" i="4"/>
  <c r="AF3" i="4"/>
  <c r="X3" i="4"/>
  <c r="N3" i="4"/>
  <c r="AO23" i="4"/>
  <c r="AD23" i="4"/>
  <c r="Q23" i="4"/>
  <c r="AW21" i="4"/>
  <c r="AB21" i="4"/>
  <c r="AS20" i="4"/>
  <c r="AR19" i="4"/>
  <c r="U19" i="4"/>
  <c r="U17" i="4"/>
  <c r="AC16" i="4"/>
  <c r="AK15" i="4"/>
  <c r="U13" i="4"/>
  <c r="M10" i="4"/>
  <c r="AR6" i="4"/>
  <c r="T5" i="4"/>
  <c r="CT5" i="4"/>
  <c r="BA7" i="4"/>
  <c r="N20" i="4"/>
  <c r="V20" i="4"/>
  <c r="AD20" i="4"/>
  <c r="AL20" i="4"/>
  <c r="AT20" i="4"/>
  <c r="O20" i="4"/>
  <c r="W20" i="4"/>
  <c r="AE20" i="4"/>
  <c r="AM20" i="4"/>
  <c r="AU20" i="4"/>
  <c r="P20" i="4"/>
  <c r="X20" i="4"/>
  <c r="AF20" i="4"/>
  <c r="AN20" i="4"/>
  <c r="AV20" i="4"/>
  <c r="R20" i="4"/>
  <c r="Z20" i="4"/>
  <c r="AH20" i="4"/>
  <c r="AP20" i="4"/>
  <c r="AX20" i="4"/>
  <c r="S20" i="4"/>
  <c r="AA20" i="4"/>
  <c r="AI20" i="4"/>
  <c r="AQ20" i="4"/>
  <c r="AY20" i="4"/>
  <c r="BX3" i="4"/>
  <c r="CB3" i="4"/>
  <c r="CJ3" i="4"/>
  <c r="CR3" i="4"/>
  <c r="CZ3" i="4"/>
  <c r="DH3" i="4"/>
  <c r="BF3" i="4"/>
  <c r="BN3" i="4"/>
  <c r="BT3" i="4"/>
  <c r="CC3" i="4"/>
  <c r="CK3" i="4"/>
  <c r="CS3" i="4"/>
  <c r="DA3" i="4"/>
  <c r="DI3" i="4"/>
  <c r="BG3" i="4"/>
  <c r="BO3" i="4"/>
  <c r="BV3" i="4"/>
  <c r="CE3" i="4"/>
  <c r="CM3" i="4"/>
  <c r="CU3" i="4"/>
  <c r="DC3" i="4"/>
  <c r="DK3" i="4"/>
  <c r="BA3" i="4"/>
  <c r="BI3" i="4"/>
  <c r="BQ3" i="4"/>
  <c r="BW3" i="4"/>
  <c r="CF3" i="4"/>
  <c r="CN3" i="4"/>
  <c r="CV3" i="4"/>
  <c r="DD3" i="4"/>
  <c r="DL3" i="4"/>
  <c r="BB3" i="4"/>
  <c r="BJ3" i="4"/>
  <c r="BR3" i="4"/>
  <c r="BY3" i="4"/>
  <c r="CG3" i="4"/>
  <c r="CO3" i="4"/>
  <c r="CW3" i="4"/>
  <c r="DE3" i="4"/>
  <c r="BC3" i="4"/>
  <c r="BK3" i="4"/>
  <c r="BS3" i="4"/>
  <c r="CL3" i="4"/>
  <c r="DG3" i="4"/>
  <c r="BD3" i="4"/>
  <c r="CP3" i="4"/>
  <c r="DJ3" i="4"/>
  <c r="BE3" i="4"/>
  <c r="Q3" i="4"/>
  <c r="BU3" i="4"/>
  <c r="CQ3" i="4"/>
  <c r="BH3" i="4"/>
  <c r="BZ3" i="4"/>
  <c r="CT3" i="4"/>
  <c r="BL3" i="4"/>
  <c r="CA3" i="4"/>
  <c r="CX3" i="4"/>
  <c r="BM3" i="4"/>
  <c r="CD3" i="4"/>
  <c r="CY3" i="4"/>
  <c r="BP3" i="4"/>
  <c r="U3" i="4"/>
  <c r="S11" i="4"/>
  <c r="AA11" i="4"/>
  <c r="AI11" i="4"/>
  <c r="AQ11" i="4"/>
  <c r="AY11" i="4"/>
  <c r="L11" i="4"/>
  <c r="T11" i="4"/>
  <c r="AB11" i="4"/>
  <c r="AJ11" i="4"/>
  <c r="AR11" i="4"/>
  <c r="O11" i="4"/>
  <c r="W11" i="4"/>
  <c r="AE11" i="4"/>
  <c r="AM11" i="4"/>
  <c r="AU11" i="4"/>
  <c r="P11" i="4"/>
  <c r="X11" i="4"/>
  <c r="AF11" i="4"/>
  <c r="AN11" i="4"/>
  <c r="AV11" i="4"/>
  <c r="V11" i="4"/>
  <c r="AL11" i="4"/>
  <c r="Y11" i="4"/>
  <c r="AO11" i="4"/>
  <c r="Z11" i="4"/>
  <c r="AP11" i="4"/>
  <c r="M11" i="4"/>
  <c r="AC11" i="4"/>
  <c r="AS11" i="4"/>
  <c r="N11" i="4"/>
  <c r="AD11" i="4"/>
  <c r="AT11" i="4"/>
  <c r="Q11" i="4"/>
  <c r="AG11" i="4"/>
  <c r="AW11" i="4"/>
  <c r="AU3" i="4"/>
  <c r="AM3" i="4"/>
  <c r="AE3" i="4"/>
  <c r="W3" i="4"/>
  <c r="AX23" i="4"/>
  <c r="AN23" i="4"/>
  <c r="AC23" i="4"/>
  <c r="P23" i="4"/>
  <c r="AS21" i="4"/>
  <c r="Y21" i="4"/>
  <c r="AR20" i="4"/>
  <c r="U20" i="4"/>
  <c r="AO19" i="4"/>
  <c r="T19" i="4"/>
  <c r="AB16" i="4"/>
  <c r="AJ15" i="4"/>
  <c r="R13" i="4"/>
  <c r="AH11" i="4"/>
  <c r="AW9" i="4"/>
  <c r="AO6" i="4"/>
  <c r="Q5" i="4"/>
  <c r="DB3" i="4"/>
  <c r="CS5" i="4"/>
  <c r="N17" i="4"/>
  <c r="V17" i="4"/>
  <c r="AD17" i="4"/>
  <c r="AL17" i="4"/>
  <c r="AT17" i="4"/>
  <c r="O17" i="4"/>
  <c r="W17" i="4"/>
  <c r="AE17" i="4"/>
  <c r="AM17" i="4"/>
  <c r="AU17" i="4"/>
  <c r="P17" i="4"/>
  <c r="X17" i="4"/>
  <c r="AF17" i="4"/>
  <c r="AN17" i="4"/>
  <c r="AV17" i="4"/>
  <c r="Q17" i="4"/>
  <c r="Y17" i="4"/>
  <c r="AG17" i="4"/>
  <c r="AO17" i="4"/>
  <c r="AW17" i="4"/>
  <c r="R17" i="4"/>
  <c r="Z17" i="4"/>
  <c r="AH17" i="4"/>
  <c r="AP17" i="4"/>
  <c r="AX17" i="4"/>
  <c r="S17" i="4"/>
  <c r="AA17" i="4"/>
  <c r="AI17" i="4"/>
  <c r="AQ17" i="4"/>
  <c r="AY17" i="4"/>
  <c r="AT3" i="4"/>
  <c r="AL3" i="4"/>
  <c r="AD3" i="4"/>
  <c r="V3" i="4"/>
  <c r="AW23" i="4"/>
  <c r="AL23" i="4"/>
  <c r="AB23" i="4"/>
  <c r="M23" i="4"/>
  <c r="AR21" i="4"/>
  <c r="U21" i="4"/>
  <c r="AO20" i="4"/>
  <c r="T20" i="4"/>
  <c r="AK19" i="4"/>
  <c r="Q19" i="4"/>
  <c r="AS17" i="4"/>
  <c r="M17" i="4"/>
  <c r="U16" i="4"/>
  <c r="AC15" i="4"/>
  <c r="U11" i="4"/>
  <c r="AZ3" i="4"/>
  <c r="CI3" i="4"/>
  <c r="BY5" i="4"/>
  <c r="AT23" i="4"/>
  <c r="X23" i="4"/>
  <c r="U15" i="4"/>
  <c r="BC6" i="4"/>
  <c r="BK6" i="4"/>
  <c r="BS6" i="4"/>
  <c r="R6" i="4"/>
  <c r="Z6" i="4"/>
  <c r="AH6" i="4"/>
  <c r="AP6" i="4"/>
  <c r="AX6" i="4"/>
  <c r="BD6" i="4"/>
  <c r="BL6" i="4"/>
  <c r="S6" i="4"/>
  <c r="AA6" i="4"/>
  <c r="AI6" i="4"/>
  <c r="AQ6" i="4"/>
  <c r="AY6" i="4"/>
  <c r="BF6" i="4"/>
  <c r="BN6" i="4"/>
  <c r="BG6" i="4"/>
  <c r="BO6" i="4"/>
  <c r="N6" i="4"/>
  <c r="V6" i="4"/>
  <c r="AD6" i="4"/>
  <c r="AL6" i="4"/>
  <c r="AT6" i="4"/>
  <c r="AZ6" i="4"/>
  <c r="BH6" i="4"/>
  <c r="BP6" i="4"/>
  <c r="O6" i="4"/>
  <c r="W6" i="4"/>
  <c r="AE6" i="4"/>
  <c r="AM6" i="4"/>
  <c r="AU6" i="4"/>
  <c r="BE6" i="4"/>
  <c r="M6" i="4"/>
  <c r="AC6" i="4"/>
  <c r="AS6" i="4"/>
  <c r="BI6" i="4"/>
  <c r="P6" i="4"/>
  <c r="AF6" i="4"/>
  <c r="AV6" i="4"/>
  <c r="BJ6" i="4"/>
  <c r="Q6" i="4"/>
  <c r="AG6" i="4"/>
  <c r="AW6" i="4"/>
  <c r="BM6" i="4"/>
  <c r="T6" i="4"/>
  <c r="AJ6" i="4"/>
  <c r="BQ6" i="4"/>
  <c r="U6" i="4"/>
  <c r="AK6" i="4"/>
  <c r="BR6" i="4"/>
  <c r="X6" i="4"/>
  <c r="AN6" i="4"/>
  <c r="AZ9" i="4"/>
  <c r="BH9" i="4"/>
  <c r="BP9" i="4"/>
  <c r="R9" i="4"/>
  <c r="Z9" i="4"/>
  <c r="AH9" i="4"/>
  <c r="AP9" i="4"/>
  <c r="AY9" i="4"/>
  <c r="BA9" i="4"/>
  <c r="BI9" i="4"/>
  <c r="BQ9" i="4"/>
  <c r="S9" i="4"/>
  <c r="AA9" i="4"/>
  <c r="AI9" i="4"/>
  <c r="AQ9" i="4"/>
  <c r="BC9" i="4"/>
  <c r="BK9" i="4"/>
  <c r="BS9" i="4"/>
  <c r="BD9" i="4"/>
  <c r="BL9" i="4"/>
  <c r="AX9" i="4"/>
  <c r="N9" i="4"/>
  <c r="V9" i="4"/>
  <c r="AD9" i="4"/>
  <c r="AL9" i="4"/>
  <c r="AT9" i="4"/>
  <c r="BE9" i="4"/>
  <c r="BM9" i="4"/>
  <c r="O9" i="4"/>
  <c r="W9" i="4"/>
  <c r="AE9" i="4"/>
  <c r="AM9" i="4"/>
  <c r="AU9" i="4"/>
  <c r="BB9" i="4"/>
  <c r="U9" i="4"/>
  <c r="AK9" i="4"/>
  <c r="BF9" i="4"/>
  <c r="X9" i="4"/>
  <c r="AN9" i="4"/>
  <c r="BG9" i="4"/>
  <c r="Y9" i="4"/>
  <c r="AO9" i="4"/>
  <c r="BJ9" i="4"/>
  <c r="L9" i="4"/>
  <c r="AB9" i="4"/>
  <c r="AR9" i="4"/>
  <c r="BN9" i="4"/>
  <c r="M9" i="4"/>
  <c r="AC9" i="4"/>
  <c r="AS9" i="4"/>
  <c r="BO9" i="4"/>
  <c r="P9" i="4"/>
  <c r="AF9" i="4"/>
  <c r="AV9" i="4"/>
  <c r="M3" i="4"/>
  <c r="AS3" i="4"/>
  <c r="AK3" i="4"/>
  <c r="AC3" i="4"/>
  <c r="T3" i="4"/>
  <c r="AV23" i="4"/>
  <c r="AK23" i="4"/>
  <c r="Y23" i="4"/>
  <c r="L23" i="4"/>
  <c r="AO21" i="4"/>
  <c r="T21" i="4"/>
  <c r="AK20" i="4"/>
  <c r="Q20" i="4"/>
  <c r="AJ19" i="4"/>
  <c r="M19" i="4"/>
  <c r="AR17" i="4"/>
  <c r="L17" i="4"/>
  <c r="T16" i="4"/>
  <c r="AB15" i="4"/>
  <c r="R11" i="4"/>
  <c r="AG9" i="4"/>
  <c r="AW7" i="4"/>
  <c r="Y6" i="4"/>
  <c r="CH3" i="4"/>
  <c r="BV5" i="4"/>
  <c r="BR9" i="4"/>
  <c r="I3" i="4"/>
  <c r="H30" i="3"/>
  <c r="AF4" i="2"/>
  <c r="AF12" i="2"/>
  <c r="AF20" i="2"/>
  <c r="AF28" i="2"/>
  <c r="AF36" i="2"/>
  <c r="AF5" i="2"/>
  <c r="AF13" i="2"/>
  <c r="AF21" i="2"/>
  <c r="AF29" i="2"/>
  <c r="AF37" i="2"/>
  <c r="AF8" i="2"/>
  <c r="AF16" i="2"/>
  <c r="AF24" i="2"/>
  <c r="AF32" i="2"/>
  <c r="AF40" i="2"/>
  <c r="AF9" i="2"/>
  <c r="AF17" i="2"/>
  <c r="AF25" i="2"/>
  <c r="AF33" i="2"/>
  <c r="AF41" i="2"/>
  <c r="AF10" i="2"/>
  <c r="AF18" i="2"/>
  <c r="AF26" i="2"/>
  <c r="AF34" i="2"/>
  <c r="AF42" i="2"/>
  <c r="AF11" i="2"/>
  <c r="AF19" i="2"/>
  <c r="AF27" i="2"/>
  <c r="AF35" i="2"/>
  <c r="AF43" i="2"/>
  <c r="AE4" i="2"/>
  <c r="AE12" i="2"/>
  <c r="AE20" i="2"/>
  <c r="AE28" i="2"/>
  <c r="AE36" i="2"/>
  <c r="AE5" i="2"/>
  <c r="AE13" i="2"/>
  <c r="AE21" i="2"/>
  <c r="AE29" i="2"/>
  <c r="AE37" i="2"/>
  <c r="AE8" i="2"/>
  <c r="AE16" i="2"/>
  <c r="AE24" i="2"/>
  <c r="AE32" i="2"/>
  <c r="AE40" i="2"/>
  <c r="AE3" i="2"/>
  <c r="AE9" i="2"/>
  <c r="AE17" i="2"/>
  <c r="AE25" i="2"/>
  <c r="AE33" i="2"/>
  <c r="AE41" i="2"/>
  <c r="AE10" i="2"/>
  <c r="AE18" i="2"/>
  <c r="AE26" i="2"/>
  <c r="AE34" i="2"/>
  <c r="AE42" i="2"/>
  <c r="AE11" i="2"/>
  <c r="AE19" i="2"/>
  <c r="AE27" i="2"/>
  <c r="W10" i="2"/>
  <c r="W18" i="2"/>
  <c r="W26" i="2"/>
  <c r="W34" i="2"/>
  <c r="W42" i="2"/>
  <c r="W11" i="2"/>
  <c r="W19" i="2"/>
  <c r="W27" i="2"/>
  <c r="W35" i="2"/>
  <c r="W4" i="2"/>
  <c r="W6" i="2"/>
  <c r="W14" i="2"/>
  <c r="W22" i="2"/>
  <c r="W30" i="2"/>
  <c r="W38" i="2"/>
  <c r="W8" i="2"/>
  <c r="W16" i="2"/>
  <c r="W24" i="2"/>
  <c r="W32" i="2"/>
  <c r="W40" i="2"/>
  <c r="N20" i="2"/>
  <c r="N31" i="2"/>
  <c r="Q42" i="2"/>
  <c r="Q26" i="2"/>
  <c r="Q10" i="2"/>
  <c r="R33" i="2"/>
  <c r="R17" i="2"/>
  <c r="S41" i="2"/>
  <c r="S25" i="2"/>
  <c r="S9" i="2"/>
  <c r="T33" i="2"/>
  <c r="T17" i="2"/>
  <c r="U42" i="2"/>
  <c r="U26" i="2"/>
  <c r="U10" i="2"/>
  <c r="V33" i="2"/>
  <c r="W41" i="2"/>
  <c r="W25" i="2"/>
  <c r="W9" i="2"/>
  <c r="X35" i="2"/>
  <c r="X19" i="2"/>
  <c r="Y42" i="2"/>
  <c r="Y26" i="2"/>
  <c r="Y10" i="2"/>
  <c r="Z35" i="2"/>
  <c r="Z15" i="2"/>
  <c r="AA33" i="2"/>
  <c r="AA10" i="2"/>
  <c r="AB29" i="2"/>
  <c r="AB8" i="2"/>
  <c r="AC23" i="2"/>
  <c r="AD43" i="2"/>
  <c r="AE39" i="2"/>
  <c r="AE14" i="2"/>
  <c r="AF22" i="2"/>
  <c r="AG30" i="2"/>
  <c r="X38" i="2"/>
  <c r="AF23" i="2"/>
  <c r="AD4" i="2"/>
  <c r="AD12" i="2"/>
  <c r="AD20" i="2"/>
  <c r="AD28" i="2"/>
  <c r="AD36" i="2"/>
  <c r="AD5" i="2"/>
  <c r="AD13" i="2"/>
  <c r="AD21" i="2"/>
  <c r="AD29" i="2"/>
  <c r="AD37" i="2"/>
  <c r="AD8" i="2"/>
  <c r="AD16" i="2"/>
  <c r="AD24" i="2"/>
  <c r="AD32" i="2"/>
  <c r="AD40" i="2"/>
  <c r="AD9" i="2"/>
  <c r="AD17" i="2"/>
  <c r="AD25" i="2"/>
  <c r="AD33" i="2"/>
  <c r="AD41" i="2"/>
  <c r="AD3" i="2"/>
  <c r="AD10" i="2"/>
  <c r="AD18" i="2"/>
  <c r="AD26" i="2"/>
  <c r="AD34" i="2"/>
  <c r="AD42" i="2"/>
  <c r="V10" i="2"/>
  <c r="V18" i="2"/>
  <c r="V26" i="2"/>
  <c r="V34" i="2"/>
  <c r="V42" i="2"/>
  <c r="V11" i="2"/>
  <c r="V19" i="2"/>
  <c r="V27" i="2"/>
  <c r="V35" i="2"/>
  <c r="V3" i="2"/>
  <c r="V6" i="2"/>
  <c r="V14" i="2"/>
  <c r="V22" i="2"/>
  <c r="V30" i="2"/>
  <c r="V38" i="2"/>
  <c r="V8" i="2"/>
  <c r="V16" i="2"/>
  <c r="V24" i="2"/>
  <c r="V32" i="2"/>
  <c r="V40" i="2"/>
  <c r="M23" i="2"/>
  <c r="P35" i="2"/>
  <c r="Q40" i="2"/>
  <c r="Q24" i="2"/>
  <c r="Q8" i="2"/>
  <c r="R31" i="2"/>
  <c r="R15" i="2"/>
  <c r="S39" i="2"/>
  <c r="S23" i="2"/>
  <c r="S7" i="2"/>
  <c r="T31" i="2"/>
  <c r="T15" i="2"/>
  <c r="U40" i="2"/>
  <c r="U24" i="2"/>
  <c r="V31" i="2"/>
  <c r="V15" i="2"/>
  <c r="W39" i="2"/>
  <c r="W23" i="2"/>
  <c r="W7" i="2"/>
  <c r="X33" i="2"/>
  <c r="X17" i="2"/>
  <c r="Y40" i="2"/>
  <c r="Y24" i="2"/>
  <c r="Y8" i="2"/>
  <c r="Z34" i="2"/>
  <c r="Z11" i="2"/>
  <c r="AA30" i="2"/>
  <c r="AA9" i="2"/>
  <c r="AB25" i="2"/>
  <c r="AB5" i="2"/>
  <c r="AD39" i="2"/>
  <c r="AD19" i="2"/>
  <c r="AE38" i="2"/>
  <c r="AE7" i="2"/>
  <c r="AF15" i="2"/>
  <c r="AG23" i="2"/>
  <c r="X6" i="2"/>
  <c r="AC4" i="2"/>
  <c r="AC12" i="2"/>
  <c r="AC20" i="2"/>
  <c r="AC28" i="2"/>
  <c r="AC36" i="2"/>
  <c r="AC5" i="2"/>
  <c r="AC13" i="2"/>
  <c r="AC21" i="2"/>
  <c r="AC29" i="2"/>
  <c r="AC37" i="2"/>
  <c r="AC8" i="2"/>
  <c r="AC16" i="2"/>
  <c r="AC24" i="2"/>
  <c r="AC32" i="2"/>
  <c r="AC40" i="2"/>
  <c r="AC9" i="2"/>
  <c r="AC17" i="2"/>
  <c r="AC25" i="2"/>
  <c r="AC33" i="2"/>
  <c r="AC41" i="2"/>
  <c r="AC10" i="2"/>
  <c r="AC18" i="2"/>
  <c r="AC26" i="2"/>
  <c r="AC34" i="2"/>
  <c r="AC3" i="2"/>
  <c r="U11" i="2"/>
  <c r="U19" i="2"/>
  <c r="U27" i="2"/>
  <c r="U35" i="2"/>
  <c r="U4" i="2"/>
  <c r="U12" i="2"/>
  <c r="U20" i="2"/>
  <c r="U28" i="2"/>
  <c r="U36" i="2"/>
  <c r="U3" i="2"/>
  <c r="U7" i="2"/>
  <c r="U15" i="2"/>
  <c r="U23" i="2"/>
  <c r="U31" i="2"/>
  <c r="U39" i="2"/>
  <c r="U9" i="2"/>
  <c r="U17" i="2"/>
  <c r="U25" i="2"/>
  <c r="U33" i="2"/>
  <c r="U41" i="2"/>
  <c r="P27" i="2"/>
  <c r="Q38" i="2"/>
  <c r="Q22" i="2"/>
  <c r="Q6" i="2"/>
  <c r="R29" i="2"/>
  <c r="R13" i="2"/>
  <c r="S37" i="2"/>
  <c r="S21" i="2"/>
  <c r="S5" i="2"/>
  <c r="T29" i="2"/>
  <c r="U38" i="2"/>
  <c r="U22" i="2"/>
  <c r="U6" i="2"/>
  <c r="V29" i="2"/>
  <c r="V13" i="2"/>
  <c r="W37" i="2"/>
  <c r="W21" i="2"/>
  <c r="W5" i="2"/>
  <c r="X31" i="2"/>
  <c r="X15" i="2"/>
  <c r="Y38" i="2"/>
  <c r="Y22" i="2"/>
  <c r="Y6" i="2"/>
  <c r="Z31" i="2"/>
  <c r="Z10" i="2"/>
  <c r="AA26" i="2"/>
  <c r="AA6" i="2"/>
  <c r="AC39" i="2"/>
  <c r="AC19" i="2"/>
  <c r="AD38" i="2"/>
  <c r="AD15" i="2"/>
  <c r="AE35" i="2"/>
  <c r="AE6" i="2"/>
  <c r="AF14" i="2"/>
  <c r="AG22" i="2"/>
  <c r="AB6" i="2"/>
  <c r="AB14" i="2"/>
  <c r="AB22" i="2"/>
  <c r="AB30" i="2"/>
  <c r="AB38" i="2"/>
  <c r="AB7" i="2"/>
  <c r="AB15" i="2"/>
  <c r="AB23" i="2"/>
  <c r="AB31" i="2"/>
  <c r="AB39" i="2"/>
  <c r="AB10" i="2"/>
  <c r="AB18" i="2"/>
  <c r="AB26" i="2"/>
  <c r="AB34" i="2"/>
  <c r="AB42" i="2"/>
  <c r="AB11" i="2"/>
  <c r="AB19" i="2"/>
  <c r="AB27" i="2"/>
  <c r="AB35" i="2"/>
  <c r="AB4" i="2"/>
  <c r="AB12" i="2"/>
  <c r="AB20" i="2"/>
  <c r="AB28" i="2"/>
  <c r="AB36" i="2"/>
  <c r="T10" i="2"/>
  <c r="T18" i="2"/>
  <c r="T26" i="2"/>
  <c r="T34" i="2"/>
  <c r="T42" i="2"/>
  <c r="T11" i="2"/>
  <c r="T19" i="2"/>
  <c r="T27" i="2"/>
  <c r="T35" i="2"/>
  <c r="T3" i="2"/>
  <c r="T6" i="2"/>
  <c r="T14" i="2"/>
  <c r="T22" i="2"/>
  <c r="T30" i="2"/>
  <c r="T38" i="2"/>
  <c r="T8" i="2"/>
  <c r="T16" i="2"/>
  <c r="T24" i="2"/>
  <c r="T32" i="2"/>
  <c r="T40" i="2"/>
  <c r="P19" i="2"/>
  <c r="Q37" i="2"/>
  <c r="Q21" i="2"/>
  <c r="Q5" i="2"/>
  <c r="R28" i="2"/>
  <c r="R12" i="2"/>
  <c r="S36" i="2"/>
  <c r="S20" i="2"/>
  <c r="T28" i="2"/>
  <c r="T12" i="2"/>
  <c r="U37" i="2"/>
  <c r="U21" i="2"/>
  <c r="U5" i="2"/>
  <c r="V28" i="2"/>
  <c r="V12" i="2"/>
  <c r="W36" i="2"/>
  <c r="W20" i="2"/>
  <c r="W3" i="2"/>
  <c r="X30" i="2"/>
  <c r="X14" i="2"/>
  <c r="Y37" i="2"/>
  <c r="Y21" i="2"/>
  <c r="Y5" i="2"/>
  <c r="Z27" i="2"/>
  <c r="Z7" i="2"/>
  <c r="AB41" i="2"/>
  <c r="AB21" i="2"/>
  <c r="AC38" i="2"/>
  <c r="AC15" i="2"/>
  <c r="AD35" i="2"/>
  <c r="AD14" i="2"/>
  <c r="AE31" i="2"/>
  <c r="AF39" i="2"/>
  <c r="AF7" i="2"/>
  <c r="AG15" i="2"/>
  <c r="AA7" i="2"/>
  <c r="AA15" i="2"/>
  <c r="AA23" i="2"/>
  <c r="AA31" i="2"/>
  <c r="AA39" i="2"/>
  <c r="AA8" i="2"/>
  <c r="AA16" i="2"/>
  <c r="AA24" i="2"/>
  <c r="AA32" i="2"/>
  <c r="AA40" i="2"/>
  <c r="AA3" i="2"/>
  <c r="AA11" i="2"/>
  <c r="AA19" i="2"/>
  <c r="AA27" i="2"/>
  <c r="AA35" i="2"/>
  <c r="AA4" i="2"/>
  <c r="AA12" i="2"/>
  <c r="AA20" i="2"/>
  <c r="AA28" i="2"/>
  <c r="AA36" i="2"/>
  <c r="AA5" i="2"/>
  <c r="AA13" i="2"/>
  <c r="AA21" i="2"/>
  <c r="AA29" i="2"/>
  <c r="AA37" i="2"/>
  <c r="S10" i="2"/>
  <c r="S18" i="2"/>
  <c r="S26" i="2"/>
  <c r="S34" i="2"/>
  <c r="S42" i="2"/>
  <c r="S11" i="2"/>
  <c r="S19" i="2"/>
  <c r="S27" i="2"/>
  <c r="S35" i="2"/>
  <c r="S3" i="2"/>
  <c r="S6" i="2"/>
  <c r="S14" i="2"/>
  <c r="S22" i="2"/>
  <c r="S30" i="2"/>
  <c r="S38" i="2"/>
  <c r="S8" i="2"/>
  <c r="S16" i="2"/>
  <c r="S24" i="2"/>
  <c r="S32" i="2"/>
  <c r="S40" i="2"/>
  <c r="P11" i="2"/>
  <c r="Q34" i="2"/>
  <c r="Q18" i="2"/>
  <c r="R41" i="2"/>
  <c r="R25" i="2"/>
  <c r="S33" i="2"/>
  <c r="S17" i="2"/>
  <c r="T41" i="2"/>
  <c r="T25" i="2"/>
  <c r="T9" i="2"/>
  <c r="U34" i="2"/>
  <c r="U18" i="2"/>
  <c r="V41" i="2"/>
  <c r="V25" i="2"/>
  <c r="V9" i="2"/>
  <c r="W33" i="2"/>
  <c r="W17" i="2"/>
  <c r="Y3" i="2"/>
  <c r="X27" i="2"/>
  <c r="X11" i="2"/>
  <c r="Y34" i="2"/>
  <c r="Y18" i="2"/>
  <c r="AB3" i="2"/>
  <c r="AA42" i="2"/>
  <c r="AA22" i="2"/>
  <c r="AB40" i="2"/>
  <c r="AB17" i="2"/>
  <c r="AC35" i="2"/>
  <c r="AC14" i="2"/>
  <c r="AD31" i="2"/>
  <c r="AD11" i="2"/>
  <c r="AE30" i="2"/>
  <c r="AF38" i="2"/>
  <c r="AF6" i="2"/>
  <c r="AG14" i="2"/>
  <c r="X22" i="2"/>
  <c r="Z8" i="2"/>
  <c r="Z16" i="2"/>
  <c r="Z24" i="2"/>
  <c r="Z32" i="2"/>
  <c r="Z40" i="2"/>
  <c r="Z3" i="2"/>
  <c r="Z9" i="2"/>
  <c r="Z17" i="2"/>
  <c r="Z25" i="2"/>
  <c r="Z33" i="2"/>
  <c r="Z41" i="2"/>
  <c r="Z4" i="2"/>
  <c r="Z12" i="2"/>
  <c r="Z20" i="2"/>
  <c r="Z28" i="2"/>
  <c r="Z36" i="2"/>
  <c r="Z5" i="2"/>
  <c r="Z13" i="2"/>
  <c r="Z21" i="2"/>
  <c r="Z29" i="2"/>
  <c r="Z37" i="2"/>
  <c r="Z6" i="2"/>
  <c r="Z14" i="2"/>
  <c r="Z22" i="2"/>
  <c r="Z30" i="2"/>
  <c r="Z38" i="2"/>
  <c r="R10" i="2"/>
  <c r="R18" i="2"/>
  <c r="R26" i="2"/>
  <c r="R34" i="2"/>
  <c r="R42" i="2"/>
  <c r="R11" i="2"/>
  <c r="R19" i="2"/>
  <c r="R27" i="2"/>
  <c r="R35" i="2"/>
  <c r="R6" i="2"/>
  <c r="R14" i="2"/>
  <c r="R22" i="2"/>
  <c r="R30" i="2"/>
  <c r="R38" i="2"/>
  <c r="R8" i="2"/>
  <c r="R16" i="2"/>
  <c r="R24" i="2"/>
  <c r="R32" i="2"/>
  <c r="R40" i="2"/>
  <c r="M36" i="2"/>
  <c r="P3" i="2"/>
  <c r="Q32" i="2"/>
  <c r="R39" i="2"/>
  <c r="R23" i="2"/>
  <c r="R7" i="2"/>
  <c r="S31" i="2"/>
  <c r="S15" i="2"/>
  <c r="T39" i="2"/>
  <c r="T23" i="2"/>
  <c r="T7" i="2"/>
  <c r="U32" i="2"/>
  <c r="U16" i="2"/>
  <c r="V39" i="2"/>
  <c r="V23" i="2"/>
  <c r="V7" i="2"/>
  <c r="W31" i="2"/>
  <c r="W15" i="2"/>
  <c r="X41" i="2"/>
  <c r="X25" i="2"/>
  <c r="Y32" i="2"/>
  <c r="AF3" i="2"/>
  <c r="Z23" i="2"/>
  <c r="AA41" i="2"/>
  <c r="AA18" i="2"/>
  <c r="AB37" i="2"/>
  <c r="AB16" i="2"/>
  <c r="AC31" i="2"/>
  <c r="AC11" i="2"/>
  <c r="AD30" i="2"/>
  <c r="AD7" i="2"/>
  <c r="AE23" i="2"/>
  <c r="AF31" i="2"/>
  <c r="AG39" i="2"/>
  <c r="X4" i="2"/>
  <c r="X12" i="2"/>
  <c r="X20" i="2"/>
  <c r="X28" i="2"/>
  <c r="X36" i="2"/>
  <c r="X3" i="2"/>
  <c r="X5" i="2"/>
  <c r="X13" i="2"/>
  <c r="X21" i="2"/>
  <c r="X29" i="2"/>
  <c r="X37" i="2"/>
  <c r="X8" i="2"/>
  <c r="X16" i="2"/>
  <c r="X24" i="2"/>
  <c r="X32" i="2"/>
  <c r="X40" i="2"/>
  <c r="X10" i="2"/>
  <c r="X18" i="2"/>
  <c r="X26" i="2"/>
  <c r="X34" i="2"/>
  <c r="X42" i="2"/>
  <c r="AG4" i="2"/>
  <c r="AG12" i="2"/>
  <c r="AG20" i="2"/>
  <c r="AG28" i="2"/>
  <c r="AG36" i="2"/>
  <c r="AG5" i="2"/>
  <c r="AG13" i="2"/>
  <c r="AG21" i="2"/>
  <c r="AG29" i="2"/>
  <c r="AG37" i="2"/>
  <c r="AG8" i="2"/>
  <c r="AG16" i="2"/>
  <c r="AG24" i="2"/>
  <c r="AG32" i="2"/>
  <c r="AG40" i="2"/>
  <c r="AG9" i="2"/>
  <c r="AG17" i="2"/>
  <c r="AG25" i="2"/>
  <c r="AG33" i="2"/>
  <c r="AG41" i="2"/>
  <c r="AG10" i="2"/>
  <c r="AG18" i="2"/>
  <c r="AG26" i="2"/>
  <c r="AG34" i="2"/>
  <c r="AG42" i="2"/>
  <c r="AG11" i="2"/>
  <c r="AG19" i="2"/>
  <c r="AG27" i="2"/>
  <c r="AG35" i="2"/>
  <c r="AG3" i="2"/>
  <c r="Y11" i="2"/>
  <c r="Y19" i="2"/>
  <c r="Y27" i="2"/>
  <c r="Y35" i="2"/>
  <c r="Y4" i="2"/>
  <c r="Y12" i="2"/>
  <c r="Y20" i="2"/>
  <c r="Y28" i="2"/>
  <c r="Y36" i="2"/>
  <c r="Y7" i="2"/>
  <c r="Y15" i="2"/>
  <c r="Y23" i="2"/>
  <c r="Y31" i="2"/>
  <c r="Y39" i="2"/>
  <c r="Y9" i="2"/>
  <c r="Y17" i="2"/>
  <c r="Y25" i="2"/>
  <c r="Y33" i="2"/>
  <c r="Y41" i="2"/>
  <c r="Q11" i="2"/>
  <c r="Q19" i="2"/>
  <c r="Q27" i="2"/>
  <c r="Q35" i="2"/>
  <c r="Q4" i="2"/>
  <c r="Q12" i="2"/>
  <c r="Q20" i="2"/>
  <c r="Q28" i="2"/>
  <c r="Q36" i="2"/>
  <c r="Q7" i="2"/>
  <c r="Q15" i="2"/>
  <c r="Q23" i="2"/>
  <c r="Q31" i="2"/>
  <c r="Q39" i="2"/>
  <c r="Q9" i="2"/>
  <c r="Q17" i="2"/>
  <c r="Q25" i="2"/>
  <c r="Q33" i="2"/>
  <c r="Q41" i="2"/>
  <c r="M28" i="2"/>
  <c r="Q3" i="2"/>
  <c r="Q30" i="2"/>
  <c r="Q14" i="2"/>
  <c r="R37" i="2"/>
  <c r="R21" i="2"/>
  <c r="R5" i="2"/>
  <c r="S29" i="2"/>
  <c r="S13" i="2"/>
  <c r="T37" i="2"/>
  <c r="T21" i="2"/>
  <c r="T5" i="2"/>
  <c r="U30" i="2"/>
  <c r="U14" i="2"/>
  <c r="V37" i="2"/>
  <c r="V21" i="2"/>
  <c r="V5" i="2"/>
  <c r="W29" i="2"/>
  <c r="W13" i="2"/>
  <c r="X39" i="2"/>
  <c r="X23" i="2"/>
  <c r="X7" i="2"/>
  <c r="Y30" i="2"/>
  <c r="Y14" i="2"/>
  <c r="Z42" i="2"/>
  <c r="Z19" i="2"/>
  <c r="AA38" i="2"/>
  <c r="AA17" i="2"/>
  <c r="AB33" i="2"/>
  <c r="AB13" i="2"/>
  <c r="AC30" i="2"/>
  <c r="AC7" i="2"/>
  <c r="AD27" i="2"/>
  <c r="AD6" i="2"/>
  <c r="AE22" i="2"/>
  <c r="AF30" i="2"/>
  <c r="AG38" i="2"/>
  <c r="AG6" i="2"/>
  <c r="N19" i="2"/>
  <c r="M17" i="2"/>
  <c r="M35" i="2"/>
  <c r="M27" i="2"/>
  <c r="N38" i="2"/>
  <c r="N30" i="2"/>
  <c r="O42" i="2"/>
  <c r="O34" i="2"/>
  <c r="O26" i="2"/>
  <c r="O18" i="2"/>
  <c r="O10" i="2"/>
  <c r="P42" i="2"/>
  <c r="P34" i="2"/>
  <c r="P26" i="2"/>
  <c r="P18" i="2"/>
  <c r="P10" i="2"/>
  <c r="N18" i="2"/>
  <c r="M16" i="2"/>
  <c r="M42" i="2"/>
  <c r="M34" i="2"/>
  <c r="M26" i="2"/>
  <c r="N37" i="2"/>
  <c r="N29" i="2"/>
  <c r="O41" i="2"/>
  <c r="O33" i="2"/>
  <c r="O25" i="2"/>
  <c r="O17" i="2"/>
  <c r="O9" i="2"/>
  <c r="P41" i="2"/>
  <c r="P33" i="2"/>
  <c r="P25" i="2"/>
  <c r="P17" i="2"/>
  <c r="P9" i="2"/>
  <c r="N12" i="2"/>
  <c r="M15" i="2"/>
  <c r="M41" i="2"/>
  <c r="M33" i="2"/>
  <c r="M25" i="2"/>
  <c r="N36" i="2"/>
  <c r="N28" i="2"/>
  <c r="O40" i="2"/>
  <c r="O32" i="2"/>
  <c r="O24" i="2"/>
  <c r="O16" i="2"/>
  <c r="O8" i="2"/>
  <c r="P40" i="2"/>
  <c r="P32" i="2"/>
  <c r="P24" i="2"/>
  <c r="P16" i="2"/>
  <c r="P8" i="2"/>
  <c r="N11" i="2"/>
  <c r="M9" i="2"/>
  <c r="M40" i="2"/>
  <c r="M32" i="2"/>
  <c r="M24" i="2"/>
  <c r="N35" i="2"/>
  <c r="N27" i="2"/>
  <c r="O39" i="2"/>
  <c r="O31" i="2"/>
  <c r="O23" i="2"/>
  <c r="O15" i="2"/>
  <c r="O7" i="2"/>
  <c r="P39" i="2"/>
  <c r="P31" i="2"/>
  <c r="P23" i="2"/>
  <c r="P15" i="2"/>
  <c r="P7" i="2"/>
  <c r="N10" i="2"/>
  <c r="M8" i="2"/>
  <c r="M39" i="2"/>
  <c r="M31" i="2"/>
  <c r="N42" i="2"/>
  <c r="N34" i="2"/>
  <c r="N26" i="2"/>
  <c r="O38" i="2"/>
  <c r="O30" i="2"/>
  <c r="O22" i="2"/>
  <c r="O14" i="2"/>
  <c r="O6" i="2"/>
  <c r="P38" i="2"/>
  <c r="P30" i="2"/>
  <c r="P22" i="2"/>
  <c r="P14" i="2"/>
  <c r="P6" i="2"/>
  <c r="O35" i="2"/>
  <c r="O11" i="2"/>
  <c r="N23" i="2"/>
  <c r="M7" i="2"/>
  <c r="M38" i="2"/>
  <c r="M30" i="2"/>
  <c r="N41" i="2"/>
  <c r="N33" i="2"/>
  <c r="N25" i="2"/>
  <c r="O37" i="2"/>
  <c r="O29" i="2"/>
  <c r="O21" i="2"/>
  <c r="O13" i="2"/>
  <c r="O5" i="2"/>
  <c r="P37" i="2"/>
  <c r="P29" i="2"/>
  <c r="P21" i="2"/>
  <c r="P13" i="2"/>
  <c r="P5" i="2"/>
  <c r="O3" i="2"/>
  <c r="O27" i="2"/>
  <c r="O19" i="2"/>
  <c r="M3" i="2"/>
  <c r="M37" i="2"/>
  <c r="M29" i="2"/>
  <c r="N40" i="2"/>
  <c r="N32" i="2"/>
  <c r="N24" i="2"/>
  <c r="O36" i="2"/>
  <c r="O28" i="2"/>
  <c r="O20" i="2"/>
  <c r="O12" i="2"/>
  <c r="P36" i="2"/>
  <c r="P28" i="2"/>
  <c r="P20" i="2"/>
  <c r="P12" i="2"/>
  <c r="N17" i="2"/>
  <c r="N9" i="2"/>
  <c r="M22" i="2"/>
  <c r="M14" i="2"/>
  <c r="M6" i="2"/>
  <c r="N3" i="2"/>
  <c r="N16" i="2"/>
  <c r="N8" i="2"/>
  <c r="M21" i="2"/>
  <c r="M13" i="2"/>
  <c r="M5" i="2"/>
  <c r="N4" i="2"/>
  <c r="N15" i="2"/>
  <c r="N7" i="2"/>
  <c r="M20" i="2"/>
  <c r="M12" i="2"/>
  <c r="M4" i="2"/>
  <c r="N22" i="2"/>
  <c r="N14" i="2"/>
  <c r="N6" i="2"/>
  <c r="M19" i="2"/>
  <c r="M11" i="2"/>
  <c r="N21" i="2"/>
  <c r="N13" i="2"/>
  <c r="M18" i="2"/>
  <c r="H30" i="2"/>
</calcChain>
</file>

<file path=xl/sharedStrings.xml><?xml version="1.0" encoding="utf-8"?>
<sst xmlns="http://schemas.openxmlformats.org/spreadsheetml/2006/main" count="81" uniqueCount="46">
  <si>
    <t>Dy</t>
    <phoneticPr fontId="1"/>
  </si>
  <si>
    <t>mV</t>
    <phoneticPr fontId="1"/>
  </si>
  <si>
    <t>T(K)</t>
    <phoneticPr fontId="1"/>
  </si>
  <si>
    <t>H(max)</t>
    <phoneticPr fontId="1"/>
  </si>
  <si>
    <t>B(max)</t>
    <phoneticPr fontId="1"/>
  </si>
  <si>
    <t>Ni</t>
    <phoneticPr fontId="1"/>
  </si>
  <si>
    <t>T(℃)</t>
    <rPh sb="2" eb="3">
      <t>do</t>
    </rPh>
    <phoneticPr fontId="1"/>
  </si>
  <si>
    <t>I(T)</t>
    <phoneticPr fontId="1"/>
  </si>
  <si>
    <t>I0</t>
    <phoneticPr fontId="1"/>
  </si>
  <si>
    <t>θ(K)</t>
    <phoneticPr fontId="1"/>
  </si>
  <si>
    <t>T/θ</t>
    <phoneticPr fontId="1"/>
  </si>
  <si>
    <t>I/I0</t>
    <phoneticPr fontId="1"/>
  </si>
  <si>
    <t>χ</t>
    <phoneticPr fontId="1"/>
  </si>
  <si>
    <t>1/χ</t>
    <phoneticPr fontId="1"/>
  </si>
  <si>
    <t>α</t>
    <phoneticPr fontId="1"/>
  </si>
  <si>
    <t>ブリルアン(1/2)</t>
    <phoneticPr fontId="1"/>
  </si>
  <si>
    <t>α'</t>
    <phoneticPr fontId="1"/>
  </si>
  <si>
    <t>直線(1)</t>
    <rPh sb="0" eb="2">
      <t>チョクセン</t>
    </rPh>
    <phoneticPr fontId="1"/>
  </si>
  <si>
    <t>直線(2)</t>
    <rPh sb="0" eb="2">
      <t>チョクセン</t>
    </rPh>
    <phoneticPr fontId="1"/>
  </si>
  <si>
    <t>直線(3)</t>
    <rPh sb="0" eb="2">
      <t>チョクセン</t>
    </rPh>
    <phoneticPr fontId="1"/>
  </si>
  <si>
    <t>直線(4)</t>
    <rPh sb="0" eb="2">
      <t>チョクセン</t>
    </rPh>
    <phoneticPr fontId="1"/>
  </si>
  <si>
    <t>直線(5)</t>
    <rPh sb="0" eb="2">
      <t>チョクセン</t>
    </rPh>
    <phoneticPr fontId="1"/>
  </si>
  <si>
    <t>直線(6)</t>
    <rPh sb="0" eb="2">
      <t>チョクセン</t>
    </rPh>
    <phoneticPr fontId="1"/>
  </si>
  <si>
    <t>直線(7)</t>
    <rPh sb="0" eb="2">
      <t>チョクセン</t>
    </rPh>
    <phoneticPr fontId="1"/>
  </si>
  <si>
    <t>直線(8)</t>
    <rPh sb="0" eb="2">
      <t>チョクセン</t>
    </rPh>
    <phoneticPr fontId="1"/>
  </si>
  <si>
    <t>直線(9)</t>
    <rPh sb="0" eb="2">
      <t>チョクセン</t>
    </rPh>
    <phoneticPr fontId="1"/>
  </si>
  <si>
    <t>直線(10)</t>
    <rPh sb="0" eb="2">
      <t>チョクセン</t>
    </rPh>
    <phoneticPr fontId="1"/>
  </si>
  <si>
    <t>直線(11)</t>
    <rPh sb="0" eb="2">
      <t>チョクセン</t>
    </rPh>
    <phoneticPr fontId="1"/>
  </si>
  <si>
    <t>直線(12)</t>
    <rPh sb="0" eb="2">
      <t>チョクセン</t>
    </rPh>
    <phoneticPr fontId="1"/>
  </si>
  <si>
    <t>直線(13)</t>
    <rPh sb="0" eb="2">
      <t>チョクセン</t>
    </rPh>
    <phoneticPr fontId="1"/>
  </si>
  <si>
    <t>直線(14)</t>
    <rPh sb="0" eb="2">
      <t>チョクセン</t>
    </rPh>
    <phoneticPr fontId="1"/>
  </si>
  <si>
    <t>直線(15)</t>
    <rPh sb="0" eb="2">
      <t>チョクセン</t>
    </rPh>
    <phoneticPr fontId="1"/>
  </si>
  <si>
    <t>直線(16)</t>
    <rPh sb="0" eb="2">
      <t>チョクセン</t>
    </rPh>
    <phoneticPr fontId="1"/>
  </si>
  <si>
    <t>直線(17)</t>
    <rPh sb="0" eb="2">
      <t>チョクセン</t>
    </rPh>
    <phoneticPr fontId="1"/>
  </si>
  <si>
    <t>直線(18)</t>
    <rPh sb="0" eb="2">
      <t>チョクセン</t>
    </rPh>
    <phoneticPr fontId="1"/>
  </si>
  <si>
    <t>直線(19)</t>
    <rPh sb="0" eb="2">
      <t>チョクセン</t>
    </rPh>
    <phoneticPr fontId="1"/>
  </si>
  <si>
    <t>直線(20)</t>
    <rPh sb="0" eb="2">
      <t>チョクセン</t>
    </rPh>
    <phoneticPr fontId="1"/>
  </si>
  <si>
    <t>ブリルアン関数(J=1)</t>
    <rPh sb="5" eb="7">
      <t>カンスウ</t>
    </rPh>
    <phoneticPr fontId="1"/>
  </si>
  <si>
    <t>I/I₀(J=1)</t>
    <phoneticPr fontId="1"/>
  </si>
  <si>
    <t>ブリルアン関数(J=∞)</t>
    <rPh sb="5" eb="7">
      <t>カンスウ</t>
    </rPh>
    <phoneticPr fontId="1"/>
  </si>
  <si>
    <t>ブリルアン関数</t>
    <rPh sb="5" eb="7">
      <t>カンスウ</t>
    </rPh>
    <phoneticPr fontId="1"/>
  </si>
  <si>
    <t>ブリルアン関数(J=1/2)</t>
    <rPh sb="5" eb="7">
      <t>カンスウ</t>
    </rPh>
    <phoneticPr fontId="1"/>
  </si>
  <si>
    <t>キュリー点[T]</t>
    <rPh sb="4" eb="5">
      <t>テン</t>
    </rPh>
    <phoneticPr fontId="1"/>
  </si>
  <si>
    <t>ニール点[T]</t>
    <rPh sb="3" eb="4">
      <t>テン</t>
    </rPh>
    <phoneticPr fontId="1"/>
  </si>
  <si>
    <t>実験値</t>
    <rPh sb="0" eb="3">
      <t>ジッケンチ</t>
    </rPh>
    <phoneticPr fontId="1"/>
  </si>
  <si>
    <t>文献値</t>
    <rPh sb="0" eb="3">
      <t>ブンケンチ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</si>
</sst>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J=1/2</a:t>
            </a:r>
            <a:r>
              <a:rPr lang="ja-JP" altLang="en-US"/>
              <a:t>のときのブリルアン関数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7.0426301286070914E-2"/>
          <c:y val="0.20088598586414397"/>
          <c:w val="0.88019836612264146"/>
          <c:h val="0.6918101485918412"/>
        </c:manualLayout>
      </c:layout>
      <c:scatterChart>
        <c:scatterStyle val="smoothMarker"/>
        <c:varyColors val="0"/>
        <c:ser>
          <c:idx val="8"/>
          <c:order val="0"/>
          <c:tx>
            <c:v>11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Ni!$K$3:$K$7</c:f>
              <c:numCache>
                <c:formatCode>General</c:formatCod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xVal>
          <c:yVal>
            <c:numRef>
              <c:f>Ni!$AG$3:$AG$20</c:f>
              <c:numCache>
                <c:formatCode>General</c:formatCode>
                <c:ptCount val="18"/>
                <c:pt idx="0">
                  <c:v>9.9685039370078748E-2</c:v>
                </c:pt>
                <c:pt idx="1">
                  <c:v>0.1993700787401575</c:v>
                </c:pt>
                <c:pt idx="2">
                  <c:v>0.29905511811023622</c:v>
                </c:pt>
                <c:pt idx="3">
                  <c:v>0.39874015748031499</c:v>
                </c:pt>
                <c:pt idx="4">
                  <c:v>0.49842519685039371</c:v>
                </c:pt>
                <c:pt idx="5">
                  <c:v>0.59811023622047244</c:v>
                </c:pt>
                <c:pt idx="6">
                  <c:v>0.69779527559055121</c:v>
                </c:pt>
                <c:pt idx="7">
                  <c:v>0.79748031496062999</c:v>
                </c:pt>
                <c:pt idx="8">
                  <c:v>0.89716535433070865</c:v>
                </c:pt>
                <c:pt idx="9">
                  <c:v>0.99685039370078743</c:v>
                </c:pt>
                <c:pt idx="10">
                  <c:v>1.0965354330708663</c:v>
                </c:pt>
                <c:pt idx="11">
                  <c:v>1.1962204724409449</c:v>
                </c:pt>
                <c:pt idx="12">
                  <c:v>1.2959055118110236</c:v>
                </c:pt>
                <c:pt idx="13">
                  <c:v>1.3955905511811024</c:v>
                </c:pt>
                <c:pt idx="14">
                  <c:v>1.4952755905511812</c:v>
                </c:pt>
                <c:pt idx="15">
                  <c:v>1.59496062992126</c:v>
                </c:pt>
                <c:pt idx="16">
                  <c:v>1.6946456692913385</c:v>
                </c:pt>
                <c:pt idx="17">
                  <c:v>1.7943307086614173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B30-43C4-B34C-921DF4A09D0F}"/>
            </c:ext>
          </c:extLst>
        </c:ser>
        <c:ser>
          <c:idx val="0"/>
          <c:order val="1"/>
          <c:tx>
            <c:v>ブリルアン関数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Ni!$K$3:$K$7</c:f>
              <c:numCache>
                <c:formatCode>General</c:formatCode>
                <c:ptCount val="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xVal>
          <c:yVal>
            <c:numRef>
              <c:f>Ni!$L$3:$L$13</c:f>
              <c:numCache>
                <c:formatCode>General</c:formatCode>
                <c:ptCount val="11"/>
                <c:pt idx="0">
                  <c:v>9.9667994624955014E-2</c:v>
                </c:pt>
                <c:pt idx="1">
                  <c:v>0.19737532022490445</c:v>
                </c:pt>
                <c:pt idx="2">
                  <c:v>0.29131261245159079</c:v>
                </c:pt>
                <c:pt idx="3">
                  <c:v>0.37994896225522545</c:v>
                </c:pt>
                <c:pt idx="4">
                  <c:v>0.46211715726001001</c:v>
                </c:pt>
                <c:pt idx="5">
                  <c:v>0.53704956699803552</c:v>
                </c:pt>
                <c:pt idx="6">
                  <c:v>0.60436777711716405</c:v>
                </c:pt>
                <c:pt idx="7">
                  <c:v>0.66403677026784913</c:v>
                </c:pt>
                <c:pt idx="8">
                  <c:v>0.7162978701990248</c:v>
                </c:pt>
                <c:pt idx="9">
                  <c:v>0.76159415595576441</c:v>
                </c:pt>
                <c:pt idx="10">
                  <c:v>0.80049902176062959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30-43C4-B34C-921DF4A09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148303"/>
        <c:axId val="383147471"/>
      </c:scatterChart>
      <c:valAx>
        <c:axId val="38314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147471"/>
        <c:crosses val="autoZero"/>
        <c:crossBetween val="midCat"/>
      </c:valAx>
      <c:valAx>
        <c:axId val="3831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14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J=1/2の時のI/I₀-T/Θ曲線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Ni!$H$3:$H$27</c:f>
              <c:numCache>
                <c:formatCode>General</c:formatCode>
                <c:ptCount val="25"/>
                <c:pt idx="0">
                  <c:v>0.46614173228346456</c:v>
                </c:pt>
                <c:pt idx="1">
                  <c:v>0.50866141732283465</c:v>
                </c:pt>
                <c:pt idx="2">
                  <c:v>0.55590551181102366</c:v>
                </c:pt>
                <c:pt idx="3">
                  <c:v>0.60314960629921255</c:v>
                </c:pt>
                <c:pt idx="4">
                  <c:v>0.65039370078740155</c:v>
                </c:pt>
                <c:pt idx="5">
                  <c:v>0.69763779527559056</c:v>
                </c:pt>
                <c:pt idx="6">
                  <c:v>0.74488188976377956</c:v>
                </c:pt>
                <c:pt idx="7">
                  <c:v>0.79212598425196845</c:v>
                </c:pt>
                <c:pt idx="8">
                  <c:v>0.80787401574803153</c:v>
                </c:pt>
                <c:pt idx="9">
                  <c:v>0.82362204724409449</c:v>
                </c:pt>
                <c:pt idx="10">
                  <c:v>0.83937007874015745</c:v>
                </c:pt>
                <c:pt idx="11">
                  <c:v>0.85511811023622042</c:v>
                </c:pt>
                <c:pt idx="12">
                  <c:v>0.87086614173228349</c:v>
                </c:pt>
                <c:pt idx="13">
                  <c:v>0.88661417322834646</c:v>
                </c:pt>
                <c:pt idx="14">
                  <c:v>0.90236220472440942</c:v>
                </c:pt>
                <c:pt idx="15">
                  <c:v>0.91811023622047239</c:v>
                </c:pt>
                <c:pt idx="16">
                  <c:v>0.93385826771653546</c:v>
                </c:pt>
                <c:pt idx="17">
                  <c:v>0.94960629921259843</c:v>
                </c:pt>
                <c:pt idx="18">
                  <c:v>0.96535433070866139</c:v>
                </c:pt>
                <c:pt idx="19">
                  <c:v>0.98110236220472435</c:v>
                </c:pt>
                <c:pt idx="20">
                  <c:v>0.99685039370078743</c:v>
                </c:pt>
                <c:pt idx="21">
                  <c:v>1.0125984251968505</c:v>
                </c:pt>
                <c:pt idx="22">
                  <c:v>1.0283464566929135</c:v>
                </c:pt>
                <c:pt idx="23">
                  <c:v>1.0440944881889764</c:v>
                </c:pt>
                <c:pt idx="24">
                  <c:v>1.0598425196850394</c:v>
                </c:pt>
              </c:numCache>
            </c:numRef>
          </c:xVal>
          <c:yVal>
            <c:numRef>
              <c:f>Ni!$AJ$3:$AJ$22</c:f>
              <c:numCache>
                <c:formatCode>General</c:formatCode>
                <c:ptCount val="20"/>
                <c:pt idx="0">
                  <c:v>0.9704519366134543</c:v>
                </c:pt>
                <c:pt idx="1">
                  <c:v>0.95623745812773886</c:v>
                </c:pt>
                <c:pt idx="2">
                  <c:v>0.90514825364486606</c:v>
                </c:pt>
                <c:pt idx="3">
                  <c:v>0.86172315931330634</c:v>
                </c:pt>
                <c:pt idx="4">
                  <c:v>0.83365460701215555</c:v>
                </c:pt>
                <c:pt idx="5">
                  <c:v>0.76159415595576441</c:v>
                </c:pt>
                <c:pt idx="6">
                  <c:v>0.7162978701990248</c:v>
                </c:pt>
                <c:pt idx="7">
                  <c:v>0.66403677026784913</c:v>
                </c:pt>
                <c:pt idx="8">
                  <c:v>0.65270670596198999</c:v>
                </c:pt>
                <c:pt idx="9">
                  <c:v>0.6351489523872873</c:v>
                </c:pt>
                <c:pt idx="10">
                  <c:v>0.62306534957236082</c:v>
                </c:pt>
                <c:pt idx="11">
                  <c:v>0.60436777711716405</c:v>
                </c:pt>
                <c:pt idx="12">
                  <c:v>0.55805221555962414</c:v>
                </c:pt>
                <c:pt idx="13">
                  <c:v>0.53704956699803552</c:v>
                </c:pt>
                <c:pt idx="14">
                  <c:v>0.46211715726001001</c:v>
                </c:pt>
                <c:pt idx="15">
                  <c:v>0.42189900525000734</c:v>
                </c:pt>
                <c:pt idx="16">
                  <c:v>0.37994896225522545</c:v>
                </c:pt>
                <c:pt idx="17">
                  <c:v>0.29131261245159079</c:v>
                </c:pt>
                <c:pt idx="18">
                  <c:v>0.24491866240370896</c:v>
                </c:pt>
                <c:pt idx="19">
                  <c:v>0.19737532022490445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0C-49D8-9AD7-E4AC60EAF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970191"/>
        <c:axId val="501967695"/>
      </c:scatterChart>
      <c:valAx>
        <c:axId val="50197019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1967695"/>
        <c:crosses val="autoZero"/>
        <c:crossBetween val="midCat"/>
      </c:valAx>
      <c:valAx>
        <c:axId val="5019676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197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J=1/2,1,</a:t>
            </a:r>
            <a:r>
              <a:rPr lang="ja-JP" altLang="en-US"/>
              <a:t>∞</a:t>
            </a:r>
            <a:r>
              <a:rPr lang="en-US" altLang="ja-JP"/>
              <a:t>,</a:t>
            </a:r>
            <a:r>
              <a:rPr lang="ja-JP" altLang="en-US"/>
              <a:t>実験値の</a:t>
            </a:r>
            <a:r>
              <a:rPr lang="en-US" altLang="ja-JP"/>
              <a:t>I/I</a:t>
            </a:r>
            <a:r>
              <a:rPr lang="ja-JP" altLang="en-US"/>
              <a:t>₀</a:t>
            </a:r>
            <a:r>
              <a:rPr lang="en-US" altLang="ja-JP"/>
              <a:t>-T/Θ</a:t>
            </a:r>
            <a:r>
              <a:rPr lang="ja-JP" altLang="en-US"/>
              <a:t>曲線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J=1/2のときのI/I₀-T/Θ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'J=1|2'!$H$3:$H$27</c:f>
              <c:numCache>
                <c:formatCode>General</c:formatCode>
                <c:ptCount val="25"/>
                <c:pt idx="0">
                  <c:v>0.46614173228346456</c:v>
                </c:pt>
                <c:pt idx="1">
                  <c:v>0.50866141732283465</c:v>
                </c:pt>
                <c:pt idx="2">
                  <c:v>0.55590551181102366</c:v>
                </c:pt>
                <c:pt idx="3">
                  <c:v>0.60314960629921255</c:v>
                </c:pt>
                <c:pt idx="4">
                  <c:v>0.65039370078740155</c:v>
                </c:pt>
                <c:pt idx="5">
                  <c:v>0.69763779527559056</c:v>
                </c:pt>
                <c:pt idx="6">
                  <c:v>0.74488188976377956</c:v>
                </c:pt>
                <c:pt idx="7">
                  <c:v>0.79212598425196845</c:v>
                </c:pt>
                <c:pt idx="8">
                  <c:v>0.80787401574803153</c:v>
                </c:pt>
                <c:pt idx="9">
                  <c:v>0.82362204724409449</c:v>
                </c:pt>
                <c:pt idx="10">
                  <c:v>0.83937007874015745</c:v>
                </c:pt>
                <c:pt idx="11">
                  <c:v>0.85511811023622042</c:v>
                </c:pt>
                <c:pt idx="12">
                  <c:v>0.87086614173228349</c:v>
                </c:pt>
                <c:pt idx="13">
                  <c:v>0.88661417322834646</c:v>
                </c:pt>
                <c:pt idx="14">
                  <c:v>0.90236220472440942</c:v>
                </c:pt>
                <c:pt idx="15">
                  <c:v>0.91811023622047239</c:v>
                </c:pt>
                <c:pt idx="16">
                  <c:v>0.93385826771653546</c:v>
                </c:pt>
                <c:pt idx="17">
                  <c:v>0.94960629921259843</c:v>
                </c:pt>
                <c:pt idx="18">
                  <c:v>0.96535433070866139</c:v>
                </c:pt>
                <c:pt idx="19">
                  <c:v>0.98110236220472435</c:v>
                </c:pt>
                <c:pt idx="20">
                  <c:v>0.99685039370078743</c:v>
                </c:pt>
                <c:pt idx="21">
                  <c:v>1.0125984251968505</c:v>
                </c:pt>
                <c:pt idx="22">
                  <c:v>1.0283464566929135</c:v>
                </c:pt>
                <c:pt idx="23">
                  <c:v>1.0440944881889764</c:v>
                </c:pt>
                <c:pt idx="24">
                  <c:v>1.0598425196850394</c:v>
                </c:pt>
              </c:numCache>
            </c:numRef>
          </c:xVal>
          <c:yVal>
            <c:numRef>
              <c:f>'J=1|2'!$M$25:$M$43</c:f>
              <c:numCache>
                <c:formatCode>General</c:formatCode>
                <c:ptCount val="19"/>
                <c:pt idx="0">
                  <c:v>0.9704519366134543</c:v>
                </c:pt>
                <c:pt idx="1">
                  <c:v>0.95623745812773886</c:v>
                </c:pt>
                <c:pt idx="2">
                  <c:v>0.93540907060309886</c:v>
                </c:pt>
                <c:pt idx="3">
                  <c:v>0.92166855440647111</c:v>
                </c:pt>
                <c:pt idx="4">
                  <c:v>0.88535164820226253</c:v>
                </c:pt>
                <c:pt idx="5">
                  <c:v>0.83365460701215555</c:v>
                </c:pt>
                <c:pt idx="6">
                  <c:v>0.80049902176062959</c:v>
                </c:pt>
                <c:pt idx="7">
                  <c:v>0.76159415595576441</c:v>
                </c:pt>
                <c:pt idx="8">
                  <c:v>0.7162978701990248</c:v>
                </c:pt>
                <c:pt idx="9">
                  <c:v>0.66403677026784913</c:v>
                </c:pt>
                <c:pt idx="10">
                  <c:v>0.6351489523872873</c:v>
                </c:pt>
                <c:pt idx="11">
                  <c:v>0.60436777711716405</c:v>
                </c:pt>
                <c:pt idx="12">
                  <c:v>0.571669966085117</c:v>
                </c:pt>
                <c:pt idx="13">
                  <c:v>0.53704956699803552</c:v>
                </c:pt>
                <c:pt idx="14">
                  <c:v>0.50052021119023493</c:v>
                </c:pt>
                <c:pt idx="15">
                  <c:v>0.46211715726001001</c:v>
                </c:pt>
                <c:pt idx="16">
                  <c:v>0.37994896225522545</c:v>
                </c:pt>
                <c:pt idx="17">
                  <c:v>0.29131261245159079</c:v>
                </c:pt>
                <c:pt idx="18">
                  <c:v>0.19737532022490445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BB-4680-8286-2487BD464749}"/>
            </c:ext>
          </c:extLst>
        </c:ser>
        <c:ser>
          <c:idx val="1"/>
          <c:order val="1"/>
          <c:tx>
            <c:v>J=1の時のI/I₀-T/Θ曲線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'J=1|2'!$H$3:$H$27</c:f>
              <c:numCache>
                <c:formatCode>General</c:formatCode>
                <c:ptCount val="25"/>
                <c:pt idx="0">
                  <c:v>0.46614173228346456</c:v>
                </c:pt>
                <c:pt idx="1">
                  <c:v>0.50866141732283465</c:v>
                </c:pt>
                <c:pt idx="2">
                  <c:v>0.55590551181102366</c:v>
                </c:pt>
                <c:pt idx="3">
                  <c:v>0.60314960629921255</c:v>
                </c:pt>
                <c:pt idx="4">
                  <c:v>0.65039370078740155</c:v>
                </c:pt>
                <c:pt idx="5">
                  <c:v>0.69763779527559056</c:v>
                </c:pt>
                <c:pt idx="6">
                  <c:v>0.74488188976377956</c:v>
                </c:pt>
                <c:pt idx="7">
                  <c:v>0.79212598425196845</c:v>
                </c:pt>
                <c:pt idx="8">
                  <c:v>0.80787401574803153</c:v>
                </c:pt>
                <c:pt idx="9">
                  <c:v>0.82362204724409449</c:v>
                </c:pt>
                <c:pt idx="10">
                  <c:v>0.83937007874015745</c:v>
                </c:pt>
                <c:pt idx="11">
                  <c:v>0.85511811023622042</c:v>
                </c:pt>
                <c:pt idx="12">
                  <c:v>0.87086614173228349</c:v>
                </c:pt>
                <c:pt idx="13">
                  <c:v>0.88661417322834646</c:v>
                </c:pt>
                <c:pt idx="14">
                  <c:v>0.90236220472440942</c:v>
                </c:pt>
                <c:pt idx="15">
                  <c:v>0.91811023622047239</c:v>
                </c:pt>
                <c:pt idx="16">
                  <c:v>0.93385826771653546</c:v>
                </c:pt>
                <c:pt idx="17">
                  <c:v>0.94960629921259843</c:v>
                </c:pt>
                <c:pt idx="18">
                  <c:v>0.96535433070866139</c:v>
                </c:pt>
                <c:pt idx="19">
                  <c:v>0.98110236220472435</c:v>
                </c:pt>
                <c:pt idx="20">
                  <c:v>0.99685039370078743</c:v>
                </c:pt>
                <c:pt idx="21">
                  <c:v>1.0125984251968505</c:v>
                </c:pt>
                <c:pt idx="22">
                  <c:v>1.0283464566929135</c:v>
                </c:pt>
                <c:pt idx="23">
                  <c:v>1.0440944881889764</c:v>
                </c:pt>
                <c:pt idx="24">
                  <c:v>1.0598425196850394</c:v>
                </c:pt>
              </c:numCache>
            </c:numRef>
          </c:xVal>
          <c:yVal>
            <c:numRef>
              <c:f>'J=1'!$C$33:$C$48</c:f>
              <c:numCache>
                <c:formatCode>General</c:formatCode>
                <c:ptCount val="16"/>
                <c:pt idx="0">
                  <c:v>0.95309992763002993</c:v>
                </c:pt>
                <c:pt idx="1">
                  <c:v>0.93249024696875105</c:v>
                </c:pt>
                <c:pt idx="2">
                  <c:v>0.90748556608195807</c:v>
                </c:pt>
                <c:pt idx="3">
                  <c:v>0.87947628119486443</c:v>
                </c:pt>
                <c:pt idx="4">
                  <c:v>0.83419777130616068</c:v>
                </c:pt>
                <c:pt idx="5">
                  <c:v>0.79488617209213397</c:v>
                </c:pt>
                <c:pt idx="6">
                  <c:v>0.74648446131858837</c:v>
                </c:pt>
                <c:pt idx="7">
                  <c:v>0.68734981427020558</c:v>
                </c:pt>
                <c:pt idx="8">
                  <c:v>0.65326108172844422</c:v>
                </c:pt>
                <c:pt idx="9">
                  <c:v>0.61592623580275463</c:v>
                </c:pt>
                <c:pt idx="10">
                  <c:v>0.53102475576634167</c:v>
                </c:pt>
                <c:pt idx="11">
                  <c:v>0.48334009537243205</c:v>
                </c:pt>
                <c:pt idx="12">
                  <c:v>0.40537016577615903</c:v>
                </c:pt>
                <c:pt idx="13">
                  <c:v>0.34931491134606651</c:v>
                </c:pt>
                <c:pt idx="14">
                  <c:v>0.29029986088474624</c:v>
                </c:pt>
                <c:pt idx="15">
                  <c:v>0.22869249121566471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BB-4680-8286-2487BD464749}"/>
            </c:ext>
          </c:extLst>
        </c:ser>
        <c:ser>
          <c:idx val="2"/>
          <c:order val="2"/>
          <c:tx>
            <c:v>J=∞の時のI/I₀-T/Θの曲線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'J=1|2'!$H$3:$H$27</c:f>
              <c:numCache>
                <c:formatCode>General</c:formatCode>
                <c:ptCount val="25"/>
                <c:pt idx="0">
                  <c:v>0.46614173228346456</c:v>
                </c:pt>
                <c:pt idx="1">
                  <c:v>0.50866141732283465</c:v>
                </c:pt>
                <c:pt idx="2">
                  <c:v>0.55590551181102366</c:v>
                </c:pt>
                <c:pt idx="3">
                  <c:v>0.60314960629921255</c:v>
                </c:pt>
                <c:pt idx="4">
                  <c:v>0.65039370078740155</c:v>
                </c:pt>
                <c:pt idx="5">
                  <c:v>0.69763779527559056</c:v>
                </c:pt>
                <c:pt idx="6">
                  <c:v>0.74488188976377956</c:v>
                </c:pt>
                <c:pt idx="7">
                  <c:v>0.79212598425196845</c:v>
                </c:pt>
                <c:pt idx="8">
                  <c:v>0.80787401574803153</c:v>
                </c:pt>
                <c:pt idx="9">
                  <c:v>0.82362204724409449</c:v>
                </c:pt>
                <c:pt idx="10">
                  <c:v>0.83937007874015745</c:v>
                </c:pt>
                <c:pt idx="11">
                  <c:v>0.85511811023622042</c:v>
                </c:pt>
                <c:pt idx="12">
                  <c:v>0.87086614173228349</c:v>
                </c:pt>
                <c:pt idx="13">
                  <c:v>0.88661417322834646</c:v>
                </c:pt>
                <c:pt idx="14">
                  <c:v>0.90236220472440942</c:v>
                </c:pt>
                <c:pt idx="15">
                  <c:v>0.91811023622047239</c:v>
                </c:pt>
                <c:pt idx="16">
                  <c:v>0.93385826771653546</c:v>
                </c:pt>
                <c:pt idx="17">
                  <c:v>0.94960629921259843</c:v>
                </c:pt>
                <c:pt idx="18">
                  <c:v>0.96535433070866139</c:v>
                </c:pt>
                <c:pt idx="19">
                  <c:v>0.98110236220472435</c:v>
                </c:pt>
                <c:pt idx="20">
                  <c:v>0.99685039370078743</c:v>
                </c:pt>
                <c:pt idx="21">
                  <c:v>1.0125984251968505</c:v>
                </c:pt>
                <c:pt idx="22">
                  <c:v>1.0283464566929135</c:v>
                </c:pt>
                <c:pt idx="23">
                  <c:v>1.0440944881889764</c:v>
                </c:pt>
                <c:pt idx="24">
                  <c:v>1.0598425196850394</c:v>
                </c:pt>
              </c:numCache>
            </c:numRef>
          </c:xVal>
          <c:yVal>
            <c:numRef>
              <c:f>'J=∞'!$C$32:$C$51</c:f>
              <c:numCache>
                <c:formatCode>General</c:formatCode>
                <c:ptCount val="20"/>
                <c:pt idx="0">
                  <c:v>0.80775317451065298</c:v>
                </c:pt>
                <c:pt idx="1">
                  <c:v>0.78281079487583272</c:v>
                </c:pt>
                <c:pt idx="2">
                  <c:v>0.75664701902616915</c:v>
                </c:pt>
                <c:pt idx="3">
                  <c:v>0.73095298296890898</c:v>
                </c:pt>
                <c:pt idx="4">
                  <c:v>0.69082864528112453</c:v>
                </c:pt>
                <c:pt idx="5">
                  <c:v>0.66124591112953723</c:v>
                </c:pt>
                <c:pt idx="6">
                  <c:v>0.61356730981260832</c:v>
                </c:pt>
                <c:pt idx="7">
                  <c:v>0.53731472072754793</c:v>
                </c:pt>
                <c:pt idx="8">
                  <c:v>0.51944956044049484</c:v>
                </c:pt>
                <c:pt idx="9">
                  <c:v>0.5006270060589626</c:v>
                </c:pt>
                <c:pt idx="10">
                  <c:v>0.47053065712336084</c:v>
                </c:pt>
                <c:pt idx="11">
                  <c:v>0.43812472631584531</c:v>
                </c:pt>
                <c:pt idx="12">
                  <c:v>0.41520899217418228</c:v>
                </c:pt>
                <c:pt idx="13">
                  <c:v>0.39123473432710676</c:v>
                </c:pt>
                <c:pt idx="14">
                  <c:v>0.34012985547740338</c:v>
                </c:pt>
                <c:pt idx="15">
                  <c:v>0.31303528549933146</c:v>
                </c:pt>
                <c:pt idx="16">
                  <c:v>0.2849561419189004</c:v>
                </c:pt>
                <c:pt idx="17">
                  <c:v>0.25594070204370678</c:v>
                </c:pt>
                <c:pt idx="18">
                  <c:v>0.19535885471999936</c:v>
                </c:pt>
                <c:pt idx="19">
                  <c:v>9.9405096988407937E-2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BB-4680-8286-2487BD464749}"/>
            </c:ext>
          </c:extLst>
        </c:ser>
        <c:ser>
          <c:idx val="3"/>
          <c:order val="3"/>
          <c:tx>
            <c:v>実験値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'J=1|2'!$H$3:$H$27</c:f>
              <c:numCache>
                <c:formatCode>General</c:formatCode>
                <c:ptCount val="25"/>
                <c:pt idx="0">
                  <c:v>0.46614173228346456</c:v>
                </c:pt>
                <c:pt idx="1">
                  <c:v>0.50866141732283465</c:v>
                </c:pt>
                <c:pt idx="2">
                  <c:v>0.55590551181102366</c:v>
                </c:pt>
                <c:pt idx="3">
                  <c:v>0.60314960629921255</c:v>
                </c:pt>
                <c:pt idx="4">
                  <c:v>0.65039370078740155</c:v>
                </c:pt>
                <c:pt idx="5">
                  <c:v>0.69763779527559056</c:v>
                </c:pt>
                <c:pt idx="6">
                  <c:v>0.74488188976377956</c:v>
                </c:pt>
                <c:pt idx="7">
                  <c:v>0.79212598425196845</c:v>
                </c:pt>
                <c:pt idx="8">
                  <c:v>0.80787401574803153</c:v>
                </c:pt>
                <c:pt idx="9">
                  <c:v>0.82362204724409449</c:v>
                </c:pt>
                <c:pt idx="10">
                  <c:v>0.83937007874015745</c:v>
                </c:pt>
                <c:pt idx="11">
                  <c:v>0.85511811023622042</c:v>
                </c:pt>
                <c:pt idx="12">
                  <c:v>0.87086614173228349</c:v>
                </c:pt>
                <c:pt idx="13">
                  <c:v>0.88661417322834646</c:v>
                </c:pt>
                <c:pt idx="14">
                  <c:v>0.90236220472440942</c:v>
                </c:pt>
                <c:pt idx="15">
                  <c:v>0.91811023622047239</c:v>
                </c:pt>
                <c:pt idx="16">
                  <c:v>0.93385826771653546</c:v>
                </c:pt>
                <c:pt idx="17">
                  <c:v>0.94960629921259843</c:v>
                </c:pt>
                <c:pt idx="18">
                  <c:v>0.96535433070866139</c:v>
                </c:pt>
                <c:pt idx="19">
                  <c:v>0.98110236220472435</c:v>
                </c:pt>
                <c:pt idx="20">
                  <c:v>0.99685039370078743</c:v>
                </c:pt>
                <c:pt idx="21">
                  <c:v>1.0125984251968505</c:v>
                </c:pt>
                <c:pt idx="22">
                  <c:v>1.0283464566929135</c:v>
                </c:pt>
                <c:pt idx="23">
                  <c:v>1.0440944881889764</c:v>
                </c:pt>
                <c:pt idx="24">
                  <c:v>1.0598425196850394</c:v>
                </c:pt>
              </c:numCache>
            </c:numRef>
          </c:xVal>
          <c:yVal>
            <c:numRef>
              <c:f>'J=1|2'!$I$3:$I$27</c:f>
              <c:numCache>
                <c:formatCode>General</c:formatCode>
                <c:ptCount val="25"/>
                <c:pt idx="0">
                  <c:v>0.950000000092734</c:v>
                </c:pt>
                <c:pt idx="1">
                  <c:v>0.96012851151985146</c:v>
                </c:pt>
                <c:pt idx="2">
                  <c:v>0.95201430067673842</c:v>
                </c:pt>
                <c:pt idx="3">
                  <c:v>0.93398060959918749</c:v>
                </c:pt>
                <c:pt idx="4">
                  <c:v>0.90787071334991976</c:v>
                </c:pt>
                <c:pt idx="5">
                  <c:v>0.85677208815757533</c:v>
                </c:pt>
                <c:pt idx="6">
                  <c:v>0.7722094693007765</c:v>
                </c:pt>
                <c:pt idx="7">
                  <c:v>0.69061129281289002</c:v>
                </c:pt>
                <c:pt idx="8">
                  <c:v>0.65997872166746085</c:v>
                </c:pt>
                <c:pt idx="9">
                  <c:v>0.62645771949591189</c:v>
                </c:pt>
                <c:pt idx="10">
                  <c:v>0.59502702925116013</c:v>
                </c:pt>
                <c:pt idx="11">
                  <c:v>0.56792898554558813</c:v>
                </c:pt>
                <c:pt idx="12">
                  <c:v>0.53805652782808522</c:v>
                </c:pt>
                <c:pt idx="13">
                  <c:v>0.50603674967669054</c:v>
                </c:pt>
                <c:pt idx="14">
                  <c:v>0.46776503858060214</c:v>
                </c:pt>
                <c:pt idx="15">
                  <c:v>0.42808711764285023</c:v>
                </c:pt>
                <c:pt idx="16">
                  <c:v>0.39344494816510994</c:v>
                </c:pt>
                <c:pt idx="17">
                  <c:v>0.35008047710191553</c:v>
                </c:pt>
                <c:pt idx="18">
                  <c:v>0.29495325074156187</c:v>
                </c:pt>
                <c:pt idx="19">
                  <c:v>0.21189185590491741</c:v>
                </c:pt>
                <c:pt idx="20">
                  <c:v>1.5934614185521837E-2</c:v>
                </c:pt>
                <c:pt idx="21">
                  <c:v>1.2229061224381211E-2</c:v>
                </c:pt>
                <c:pt idx="22">
                  <c:v>1.1658976153436499E-2</c:v>
                </c:pt>
                <c:pt idx="23">
                  <c:v>1.1830001674719912E-2</c:v>
                </c:pt>
                <c:pt idx="24">
                  <c:v>1.3749288080233773E-2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6BB-4680-8286-2487BD464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352959"/>
        <c:axId val="492352127"/>
      </c:scatterChart>
      <c:valAx>
        <c:axId val="492352959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温度</a:t>
                </a:r>
                <a:r>
                  <a:rPr lang="en-US" altLang="ja-JP" sz="1800"/>
                  <a:t>T/Θ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2352127"/>
        <c:crosses val="autoZero"/>
        <c:crossBetween val="midCat"/>
      </c:valAx>
      <c:valAx>
        <c:axId val="4923521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磁化の強さ</a:t>
                </a:r>
                <a:r>
                  <a:rPr lang="en-US" altLang="ja-JP" sz="1800"/>
                  <a:t>I/I</a:t>
                </a:r>
                <a:r>
                  <a:rPr lang="ja-JP" altLang="en-US" sz="1800"/>
                  <a:t>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235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104277113223033E-2"/>
          <c:y val="7.4074147171998464E-2"/>
          <c:w val="0.88073862642169731"/>
          <c:h val="0.8416746864975212"/>
        </c:manualLayout>
      </c:layout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'J=1'!$L$2:$R$2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'J=1'!$L$25:$R$25</c:f>
              <c:numCache>
                <c:formatCode>General</c:formatCode>
                <c:ptCount val="7"/>
                <c:pt idx="0">
                  <c:v>6.7506561679790036E-2</c:v>
                </c:pt>
                <c:pt idx="1">
                  <c:v>0.13501312335958007</c:v>
                </c:pt>
                <c:pt idx="2">
                  <c:v>0.2025196850393701</c:v>
                </c:pt>
                <c:pt idx="3">
                  <c:v>0.27002624671916015</c:v>
                </c:pt>
                <c:pt idx="4">
                  <c:v>0.33753280839895017</c:v>
                </c:pt>
                <c:pt idx="5">
                  <c:v>0.40503937007874019</c:v>
                </c:pt>
                <c:pt idx="6">
                  <c:v>0.47254593175853021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90-4849-B171-3F473DB7FDA5}"/>
            </c:ext>
          </c:extLst>
        </c:ser>
        <c:ser>
          <c:idx val="0"/>
          <c:order val="1"/>
          <c:tx>
            <c:v>ブリルアン関数(J=1)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'J=1'!$L$2:$R$2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'J=1'!$L$3:$W$3</c:f>
              <c:numCache>
                <c:formatCode>General</c:formatCode>
                <c:ptCount val="12"/>
                <c:pt idx="0">
                  <c:v>6.6555795755196101E-2</c:v>
                </c:pt>
                <c:pt idx="1">
                  <c:v>0.13245207935561609</c:v>
                </c:pt>
                <c:pt idx="2">
                  <c:v>0.19705733770494138</c:v>
                </c:pt>
                <c:pt idx="3">
                  <c:v>0.25979350036026316</c:v>
                </c:pt>
                <c:pt idx="4">
                  <c:v>0.32015666782980645</c:v>
                </c:pt>
                <c:pt idx="5">
                  <c:v>0.37773166438414751</c:v>
                </c:pt>
                <c:pt idx="6">
                  <c:v>0.43219980492239896</c:v>
                </c:pt>
                <c:pt idx="7">
                  <c:v>0.48334009537243205</c:v>
                </c:pt>
                <c:pt idx="8">
                  <c:v>0.53102475576634167</c:v>
                </c:pt>
                <c:pt idx="9">
                  <c:v>0.57521038260444146</c:v>
                </c:pt>
                <c:pt idx="10">
                  <c:v>0.61592623580275463</c:v>
                </c:pt>
                <c:pt idx="11">
                  <c:v>0.65326108172844422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90-4849-B171-3F473DB7F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244687"/>
        <c:axId val="377247599"/>
      </c:scatterChart>
      <c:valAx>
        <c:axId val="37724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7247599"/>
        <c:crosses val="autoZero"/>
        <c:crossBetween val="midCat"/>
      </c:valAx>
      <c:valAx>
        <c:axId val="37724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724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J=1の時のI/I₀-T/Θの曲線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'J=1'!$H$3:$H$27</c:f>
              <c:numCache>
                <c:formatCode>General</c:formatCode>
                <c:ptCount val="25"/>
                <c:pt idx="0">
                  <c:v>0.46614173228346456</c:v>
                </c:pt>
                <c:pt idx="1">
                  <c:v>0.50866141732283465</c:v>
                </c:pt>
                <c:pt idx="2">
                  <c:v>0.55590551181102366</c:v>
                </c:pt>
                <c:pt idx="3">
                  <c:v>0.60314960629921255</c:v>
                </c:pt>
                <c:pt idx="4">
                  <c:v>0.65039370078740155</c:v>
                </c:pt>
                <c:pt idx="5">
                  <c:v>0.69763779527559056</c:v>
                </c:pt>
                <c:pt idx="6">
                  <c:v>0.74488188976377956</c:v>
                </c:pt>
                <c:pt idx="7">
                  <c:v>0.79212598425196845</c:v>
                </c:pt>
                <c:pt idx="8">
                  <c:v>0.80787401574803153</c:v>
                </c:pt>
                <c:pt idx="9">
                  <c:v>0.82362204724409449</c:v>
                </c:pt>
                <c:pt idx="10">
                  <c:v>0.83937007874015745</c:v>
                </c:pt>
                <c:pt idx="11">
                  <c:v>0.85511811023622042</c:v>
                </c:pt>
                <c:pt idx="12">
                  <c:v>0.87086614173228349</c:v>
                </c:pt>
                <c:pt idx="13">
                  <c:v>0.88661417322834646</c:v>
                </c:pt>
                <c:pt idx="14">
                  <c:v>0.90236220472440942</c:v>
                </c:pt>
                <c:pt idx="15">
                  <c:v>0.91811023622047239</c:v>
                </c:pt>
                <c:pt idx="16">
                  <c:v>0.93385826771653546</c:v>
                </c:pt>
                <c:pt idx="17">
                  <c:v>0.94960629921259843</c:v>
                </c:pt>
                <c:pt idx="18">
                  <c:v>0.96535433070866139</c:v>
                </c:pt>
                <c:pt idx="19">
                  <c:v>0.98110236220472435</c:v>
                </c:pt>
                <c:pt idx="20">
                  <c:v>0.99685039370078743</c:v>
                </c:pt>
                <c:pt idx="21">
                  <c:v>1.0125984251968505</c:v>
                </c:pt>
                <c:pt idx="22">
                  <c:v>1.0283464566929135</c:v>
                </c:pt>
                <c:pt idx="23">
                  <c:v>1.0440944881889764</c:v>
                </c:pt>
                <c:pt idx="24">
                  <c:v>1.0598425196850394</c:v>
                </c:pt>
              </c:numCache>
            </c:numRef>
          </c:xVal>
          <c:yVal>
            <c:numRef>
              <c:f>'J=1'!$C$33:$C$48</c:f>
              <c:numCache>
                <c:formatCode>General</c:formatCode>
                <c:ptCount val="16"/>
                <c:pt idx="0">
                  <c:v>0.95309992763002993</c:v>
                </c:pt>
                <c:pt idx="1">
                  <c:v>0.93249024696875105</c:v>
                </c:pt>
                <c:pt idx="2">
                  <c:v>0.90748556608195807</c:v>
                </c:pt>
                <c:pt idx="3">
                  <c:v>0.87947628119486443</c:v>
                </c:pt>
                <c:pt idx="4">
                  <c:v>0.83419777130616068</c:v>
                </c:pt>
                <c:pt idx="5">
                  <c:v>0.79488617209213397</c:v>
                </c:pt>
                <c:pt idx="6">
                  <c:v>0.74648446131858837</c:v>
                </c:pt>
                <c:pt idx="7">
                  <c:v>0.68734981427020558</c:v>
                </c:pt>
                <c:pt idx="8">
                  <c:v>0.65326108172844422</c:v>
                </c:pt>
                <c:pt idx="9">
                  <c:v>0.61592623580275463</c:v>
                </c:pt>
                <c:pt idx="10">
                  <c:v>0.53102475576634167</c:v>
                </c:pt>
                <c:pt idx="11">
                  <c:v>0.48334009537243205</c:v>
                </c:pt>
                <c:pt idx="12">
                  <c:v>0.40537016577615903</c:v>
                </c:pt>
                <c:pt idx="13">
                  <c:v>0.34931491134606651</c:v>
                </c:pt>
                <c:pt idx="14">
                  <c:v>0.29029986088474624</c:v>
                </c:pt>
                <c:pt idx="15">
                  <c:v>0.22869249121566471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BD-4FD2-A5DA-F97380FE1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980447"/>
        <c:axId val="381980863"/>
      </c:scatterChart>
      <c:valAx>
        <c:axId val="3819804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1980863"/>
        <c:crosses val="autoZero"/>
        <c:crossBetween val="midCat"/>
      </c:valAx>
      <c:valAx>
        <c:axId val="3819808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198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直線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'J=∞'!$L$1:$DL$1</c:f>
              <c:numCache>
                <c:formatCode>General</c:formatCode>
                <c:ptCount val="10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6.6000000000000103</c:v>
                </c:pt>
                <c:pt idx="66">
                  <c:v>6.7000000000000099</c:v>
                </c:pt>
                <c:pt idx="67">
                  <c:v>6.8000000000000096</c:v>
                </c:pt>
                <c:pt idx="68">
                  <c:v>6.9000000000000101</c:v>
                </c:pt>
                <c:pt idx="69">
                  <c:v>7.0000000000000098</c:v>
                </c:pt>
                <c:pt idx="70">
                  <c:v>7.1000000000000103</c:v>
                </c:pt>
                <c:pt idx="71">
                  <c:v>7.2000000000000099</c:v>
                </c:pt>
                <c:pt idx="72">
                  <c:v>7.3000000000000096</c:v>
                </c:pt>
                <c:pt idx="73">
                  <c:v>7.4000000000000101</c:v>
                </c:pt>
                <c:pt idx="74">
                  <c:v>7.5000000000000098</c:v>
                </c:pt>
                <c:pt idx="75">
                  <c:v>7.6000000000000103</c:v>
                </c:pt>
                <c:pt idx="76">
                  <c:v>7.7000000000000099</c:v>
                </c:pt>
                <c:pt idx="77">
                  <c:v>7.8000000000000096</c:v>
                </c:pt>
                <c:pt idx="78">
                  <c:v>7.9000000000000101</c:v>
                </c:pt>
                <c:pt idx="79">
                  <c:v>8.0000000000000107</c:v>
                </c:pt>
                <c:pt idx="80">
                  <c:v>8.1000000000000103</c:v>
                </c:pt>
                <c:pt idx="81">
                  <c:v>8.2000000000000099</c:v>
                </c:pt>
                <c:pt idx="82">
                  <c:v>8.3000000000000096</c:v>
                </c:pt>
                <c:pt idx="83">
                  <c:v>8.4000000000000092</c:v>
                </c:pt>
                <c:pt idx="84">
                  <c:v>8.5000000000000195</c:v>
                </c:pt>
                <c:pt idx="85">
                  <c:v>8.6000000000000192</c:v>
                </c:pt>
                <c:pt idx="86">
                  <c:v>8.7000000000000206</c:v>
                </c:pt>
                <c:pt idx="87">
                  <c:v>8.8000000000000203</c:v>
                </c:pt>
                <c:pt idx="88">
                  <c:v>8.9000000000000199</c:v>
                </c:pt>
                <c:pt idx="89">
                  <c:v>9.0000000000000195</c:v>
                </c:pt>
                <c:pt idx="90">
                  <c:v>9.1000000000000192</c:v>
                </c:pt>
                <c:pt idx="91">
                  <c:v>9.2000000000000206</c:v>
                </c:pt>
                <c:pt idx="92">
                  <c:v>9.3000000000000203</c:v>
                </c:pt>
                <c:pt idx="93">
                  <c:v>9.4000000000000199</c:v>
                </c:pt>
                <c:pt idx="94">
                  <c:v>9.5000000000000195</c:v>
                </c:pt>
                <c:pt idx="95">
                  <c:v>9.6000000000000192</c:v>
                </c:pt>
                <c:pt idx="96">
                  <c:v>9.7000000000000206</c:v>
                </c:pt>
                <c:pt idx="97">
                  <c:v>9.8000000000000203</c:v>
                </c:pt>
                <c:pt idx="98">
                  <c:v>9.9000000000000199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</c:numCache>
            </c:numRef>
          </c:xVal>
          <c:yVal>
            <c:numRef>
              <c:f>'J=∞'!$L$23:$T$23</c:f>
              <c:numCache>
                <c:formatCode>General</c:formatCode>
                <c:ptCount val="9"/>
                <c:pt idx="0">
                  <c:v>3.3228346456692918E-2</c:v>
                </c:pt>
                <c:pt idx="1">
                  <c:v>6.6456692913385837E-2</c:v>
                </c:pt>
                <c:pt idx="2">
                  <c:v>9.9685039370078735E-2</c:v>
                </c:pt>
                <c:pt idx="3">
                  <c:v>0.13291338582677167</c:v>
                </c:pt>
                <c:pt idx="4">
                  <c:v>0.16614173228346457</c:v>
                </c:pt>
                <c:pt idx="5">
                  <c:v>0.19937007874015747</c:v>
                </c:pt>
                <c:pt idx="6">
                  <c:v>0.23259842519685039</c:v>
                </c:pt>
                <c:pt idx="7">
                  <c:v>0.26582677165354335</c:v>
                </c:pt>
                <c:pt idx="8">
                  <c:v>0.29905511811023622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82-4977-A895-1E72B3D4BA66}"/>
            </c:ext>
          </c:extLst>
        </c:ser>
        <c:ser>
          <c:idx val="0"/>
          <c:order val="1"/>
          <c:tx>
            <c:v>J=∞の時のブリルアン関数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'J=∞'!$L$1:$AD$1</c:f>
              <c:numCache>
                <c:formatCode>General</c:formatCode>
                <c:ptCount val="1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</c:numCache>
            </c:numRef>
          </c:xVal>
          <c:yVal>
            <c:numRef>
              <c:f>'J=∞'!$L$2:$U$2</c:f>
              <c:numCache>
                <c:formatCode>General</c:formatCode>
                <c:ptCount val="10"/>
                <c:pt idx="0">
                  <c:v>3.3311132253988518E-2</c:v>
                </c:pt>
                <c:pt idx="1">
                  <c:v>6.6489563439471766E-2</c:v>
                </c:pt>
                <c:pt idx="2">
                  <c:v>9.9405096988407937E-2</c:v>
                </c:pt>
                <c:pt idx="3">
                  <c:v>0.13193244183218811</c:v>
                </c:pt>
                <c:pt idx="4">
                  <c:v>0.16395341373865291</c:v>
                </c:pt>
                <c:pt idx="5">
                  <c:v>0.19535885471999936</c:v>
                </c:pt>
                <c:pt idx="6">
                  <c:v>0.22605020723120051</c:v>
                </c:pt>
                <c:pt idx="7">
                  <c:v>0.25594070204370678</c:v>
                </c:pt>
                <c:pt idx="8">
                  <c:v>0.2849561419189004</c:v>
                </c:pt>
                <c:pt idx="9">
                  <c:v>0.31303528549933146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82-4977-A895-1E72B3D4B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258079"/>
        <c:axId val="385259327"/>
      </c:scatterChart>
      <c:valAx>
        <c:axId val="38525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5259327"/>
        <c:crosses val="autoZero"/>
        <c:crossBetween val="midCat"/>
      </c:valAx>
      <c:valAx>
        <c:axId val="38525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525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J=∞の時のI/I₀-T/Θ曲線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'J=∞'!$H$3:$H$27</c:f>
              <c:numCache>
                <c:formatCode>General</c:formatCode>
                <c:ptCount val="25"/>
                <c:pt idx="0">
                  <c:v>0.46614173228346456</c:v>
                </c:pt>
                <c:pt idx="1">
                  <c:v>0.50866141732283465</c:v>
                </c:pt>
                <c:pt idx="2">
                  <c:v>0.55590551181102366</c:v>
                </c:pt>
                <c:pt idx="3">
                  <c:v>0.60314960629921255</c:v>
                </c:pt>
                <c:pt idx="4">
                  <c:v>0.65039370078740155</c:v>
                </c:pt>
                <c:pt idx="5">
                  <c:v>0.69763779527559056</c:v>
                </c:pt>
                <c:pt idx="6">
                  <c:v>0.74488188976377956</c:v>
                </c:pt>
                <c:pt idx="7">
                  <c:v>0.79212598425196845</c:v>
                </c:pt>
                <c:pt idx="8">
                  <c:v>0.80787401574803153</c:v>
                </c:pt>
                <c:pt idx="9">
                  <c:v>0.82362204724409449</c:v>
                </c:pt>
                <c:pt idx="10">
                  <c:v>0.83937007874015745</c:v>
                </c:pt>
                <c:pt idx="11">
                  <c:v>0.85511811023622042</c:v>
                </c:pt>
                <c:pt idx="12">
                  <c:v>0.87086614173228349</c:v>
                </c:pt>
                <c:pt idx="13">
                  <c:v>0.88661417322834646</c:v>
                </c:pt>
                <c:pt idx="14">
                  <c:v>0.90236220472440942</c:v>
                </c:pt>
                <c:pt idx="15">
                  <c:v>0.91811023622047239</c:v>
                </c:pt>
                <c:pt idx="16">
                  <c:v>0.93385826771653546</c:v>
                </c:pt>
                <c:pt idx="17">
                  <c:v>0.94960629921259843</c:v>
                </c:pt>
                <c:pt idx="18">
                  <c:v>0.96535433070866139</c:v>
                </c:pt>
                <c:pt idx="19">
                  <c:v>0.98110236220472435</c:v>
                </c:pt>
                <c:pt idx="20">
                  <c:v>0.99685039370078743</c:v>
                </c:pt>
                <c:pt idx="21">
                  <c:v>1.0125984251968505</c:v>
                </c:pt>
                <c:pt idx="22">
                  <c:v>1.0283464566929135</c:v>
                </c:pt>
                <c:pt idx="23">
                  <c:v>1.0440944881889764</c:v>
                </c:pt>
                <c:pt idx="24">
                  <c:v>1.0598425196850394</c:v>
                </c:pt>
              </c:numCache>
            </c:numRef>
          </c:xVal>
          <c:yVal>
            <c:numRef>
              <c:f>'J=∞'!$C$32:$C$51</c:f>
              <c:numCache>
                <c:formatCode>General</c:formatCode>
                <c:ptCount val="20"/>
                <c:pt idx="0">
                  <c:v>0.80775317451065298</c:v>
                </c:pt>
                <c:pt idx="1">
                  <c:v>0.78281079487583272</c:v>
                </c:pt>
                <c:pt idx="2">
                  <c:v>0.75664701902616915</c:v>
                </c:pt>
                <c:pt idx="3">
                  <c:v>0.73095298296890898</c:v>
                </c:pt>
                <c:pt idx="4">
                  <c:v>0.69082864528112453</c:v>
                </c:pt>
                <c:pt idx="5">
                  <c:v>0.66124591112953723</c:v>
                </c:pt>
                <c:pt idx="6">
                  <c:v>0.61356730981260832</c:v>
                </c:pt>
                <c:pt idx="7">
                  <c:v>0.53731472072754793</c:v>
                </c:pt>
                <c:pt idx="8">
                  <c:v>0.51944956044049484</c:v>
                </c:pt>
                <c:pt idx="9">
                  <c:v>0.5006270060589626</c:v>
                </c:pt>
                <c:pt idx="10">
                  <c:v>0.47053065712336084</c:v>
                </c:pt>
                <c:pt idx="11">
                  <c:v>0.43812472631584531</c:v>
                </c:pt>
                <c:pt idx="12">
                  <c:v>0.41520899217418228</c:v>
                </c:pt>
                <c:pt idx="13">
                  <c:v>0.39123473432710676</c:v>
                </c:pt>
                <c:pt idx="14">
                  <c:v>0.34012985547740338</c:v>
                </c:pt>
                <c:pt idx="15">
                  <c:v>0.31303528549933146</c:v>
                </c:pt>
                <c:pt idx="16">
                  <c:v>0.2849561419189004</c:v>
                </c:pt>
                <c:pt idx="17">
                  <c:v>0.25594070204370678</c:v>
                </c:pt>
                <c:pt idx="18">
                  <c:v>0.19535885471999936</c:v>
                </c:pt>
                <c:pt idx="19">
                  <c:v>9.9405096988407937E-2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7-46FE-AB36-2DB343D61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263487"/>
        <c:axId val="385270559"/>
      </c:scatterChart>
      <c:valAx>
        <c:axId val="38526348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5270559"/>
        <c:crosses val="autoZero"/>
        <c:crossBetween val="midCat"/>
      </c:valAx>
      <c:valAx>
        <c:axId val="38527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526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ジスプロシウムの磁化</a:t>
            </a:r>
            <a:r>
              <a:rPr lang="en-US" altLang="ja-JP"/>
              <a:t>I</a:t>
            </a:r>
            <a:r>
              <a:rPr lang="ja-JP" altLang="en-US"/>
              <a:t>と温度の関係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0798491410547267"/>
          <c:y val="0.11528638849863976"/>
          <c:w val="0.86206168660980831"/>
          <c:h val="0.7131055365673142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Dy!$C$4:$C$91</c:f>
              <c:numCache>
                <c:formatCode>General</c:formatCode>
                <c:ptCount val="88"/>
                <c:pt idx="0">
                  <c:v>79.8</c:v>
                </c:pt>
                <c:pt idx="1">
                  <c:v>82.2</c:v>
                </c:pt>
                <c:pt idx="2">
                  <c:v>84.6</c:v>
                </c:pt>
                <c:pt idx="3">
                  <c:v>87.1</c:v>
                </c:pt>
                <c:pt idx="4">
                  <c:v>89.5</c:v>
                </c:pt>
                <c:pt idx="5">
                  <c:v>91.9</c:v>
                </c:pt>
                <c:pt idx="6">
                  <c:v>94.3</c:v>
                </c:pt>
                <c:pt idx="7">
                  <c:v>96.8</c:v>
                </c:pt>
                <c:pt idx="8">
                  <c:v>99.2</c:v>
                </c:pt>
                <c:pt idx="9">
                  <c:v>101.7</c:v>
                </c:pt>
                <c:pt idx="10">
                  <c:v>104.1</c:v>
                </c:pt>
                <c:pt idx="11">
                  <c:v>106.5</c:v>
                </c:pt>
                <c:pt idx="12">
                  <c:v>109</c:v>
                </c:pt>
                <c:pt idx="13">
                  <c:v>111.4</c:v>
                </c:pt>
                <c:pt idx="14">
                  <c:v>113.9</c:v>
                </c:pt>
                <c:pt idx="15">
                  <c:v>116.3</c:v>
                </c:pt>
                <c:pt idx="16">
                  <c:v>118.8</c:v>
                </c:pt>
                <c:pt idx="17">
                  <c:v>121.3</c:v>
                </c:pt>
                <c:pt idx="18">
                  <c:v>123.7</c:v>
                </c:pt>
                <c:pt idx="19">
                  <c:v>126.2</c:v>
                </c:pt>
                <c:pt idx="20">
                  <c:v>128.69999999999999</c:v>
                </c:pt>
                <c:pt idx="21">
                  <c:v>131.1</c:v>
                </c:pt>
                <c:pt idx="22">
                  <c:v>133.6</c:v>
                </c:pt>
                <c:pt idx="23">
                  <c:v>136.1</c:v>
                </c:pt>
                <c:pt idx="24">
                  <c:v>138.6</c:v>
                </c:pt>
                <c:pt idx="25">
                  <c:v>141.1</c:v>
                </c:pt>
                <c:pt idx="26">
                  <c:v>143.5</c:v>
                </c:pt>
                <c:pt idx="27">
                  <c:v>146</c:v>
                </c:pt>
                <c:pt idx="28">
                  <c:v>148.5</c:v>
                </c:pt>
                <c:pt idx="29">
                  <c:v>151</c:v>
                </c:pt>
                <c:pt idx="30">
                  <c:v>153.5</c:v>
                </c:pt>
                <c:pt idx="31">
                  <c:v>156</c:v>
                </c:pt>
                <c:pt idx="32">
                  <c:v>158.5</c:v>
                </c:pt>
                <c:pt idx="33">
                  <c:v>161</c:v>
                </c:pt>
                <c:pt idx="34">
                  <c:v>163.5</c:v>
                </c:pt>
                <c:pt idx="35">
                  <c:v>166</c:v>
                </c:pt>
                <c:pt idx="36">
                  <c:v>168.6</c:v>
                </c:pt>
                <c:pt idx="37">
                  <c:v>171.1</c:v>
                </c:pt>
                <c:pt idx="38">
                  <c:v>173.6</c:v>
                </c:pt>
                <c:pt idx="39">
                  <c:v>176.1</c:v>
                </c:pt>
                <c:pt idx="40">
                  <c:v>178.6</c:v>
                </c:pt>
                <c:pt idx="41">
                  <c:v>181.2</c:v>
                </c:pt>
                <c:pt idx="42">
                  <c:v>183.7</c:v>
                </c:pt>
                <c:pt idx="43">
                  <c:v>186.2</c:v>
                </c:pt>
                <c:pt idx="44">
                  <c:v>188.8</c:v>
                </c:pt>
                <c:pt idx="45">
                  <c:v>191.3</c:v>
                </c:pt>
                <c:pt idx="46">
                  <c:v>193.9</c:v>
                </c:pt>
                <c:pt idx="47">
                  <c:v>196.4</c:v>
                </c:pt>
                <c:pt idx="48">
                  <c:v>199</c:v>
                </c:pt>
                <c:pt idx="49">
                  <c:v>201.5</c:v>
                </c:pt>
                <c:pt idx="50">
                  <c:v>204.1</c:v>
                </c:pt>
                <c:pt idx="51">
                  <c:v>206.6</c:v>
                </c:pt>
                <c:pt idx="52">
                  <c:v>209.2</c:v>
                </c:pt>
                <c:pt idx="53">
                  <c:v>211.7</c:v>
                </c:pt>
                <c:pt idx="54">
                  <c:v>214.3</c:v>
                </c:pt>
                <c:pt idx="55">
                  <c:v>216.9</c:v>
                </c:pt>
                <c:pt idx="56">
                  <c:v>219.5</c:v>
                </c:pt>
                <c:pt idx="57">
                  <c:v>222</c:v>
                </c:pt>
                <c:pt idx="58">
                  <c:v>224.6</c:v>
                </c:pt>
                <c:pt idx="59">
                  <c:v>227.2</c:v>
                </c:pt>
                <c:pt idx="60">
                  <c:v>229.8</c:v>
                </c:pt>
                <c:pt idx="61">
                  <c:v>232.3</c:v>
                </c:pt>
                <c:pt idx="62">
                  <c:v>234.6</c:v>
                </c:pt>
                <c:pt idx="63">
                  <c:v>237.5</c:v>
                </c:pt>
                <c:pt idx="64">
                  <c:v>240.1</c:v>
                </c:pt>
                <c:pt idx="65">
                  <c:v>242.7</c:v>
                </c:pt>
                <c:pt idx="66">
                  <c:v>245.3</c:v>
                </c:pt>
                <c:pt idx="67">
                  <c:v>247.9</c:v>
                </c:pt>
                <c:pt idx="68">
                  <c:v>250.5</c:v>
                </c:pt>
                <c:pt idx="69">
                  <c:v>253.1</c:v>
                </c:pt>
                <c:pt idx="70">
                  <c:v>255.7</c:v>
                </c:pt>
                <c:pt idx="71">
                  <c:v>258.39999999999998</c:v>
                </c:pt>
                <c:pt idx="72">
                  <c:v>261</c:v>
                </c:pt>
                <c:pt idx="73">
                  <c:v>263.60000000000002</c:v>
                </c:pt>
                <c:pt idx="74">
                  <c:v>266.2</c:v>
                </c:pt>
                <c:pt idx="75">
                  <c:v>268.2</c:v>
                </c:pt>
                <c:pt idx="76">
                  <c:v>271.5</c:v>
                </c:pt>
                <c:pt idx="77">
                  <c:v>274.10000000000002</c:v>
                </c:pt>
                <c:pt idx="78">
                  <c:v>276.7</c:v>
                </c:pt>
                <c:pt idx="79">
                  <c:v>279.39999999999998</c:v>
                </c:pt>
                <c:pt idx="80">
                  <c:v>282</c:v>
                </c:pt>
                <c:pt idx="81">
                  <c:v>284.7</c:v>
                </c:pt>
                <c:pt idx="82">
                  <c:v>287.3</c:v>
                </c:pt>
                <c:pt idx="83">
                  <c:v>289.89999999999998</c:v>
                </c:pt>
                <c:pt idx="84">
                  <c:v>292.60000000000002</c:v>
                </c:pt>
                <c:pt idx="85">
                  <c:v>295.3</c:v>
                </c:pt>
                <c:pt idx="86">
                  <c:v>297.89999999999998</c:v>
                </c:pt>
                <c:pt idx="87">
                  <c:v>300.60000000000002</c:v>
                </c:pt>
              </c:numCache>
            </c:numRef>
          </c:xVal>
          <c:yVal>
            <c:numRef>
              <c:f>Dy!$F$4:$F$91</c:f>
              <c:numCache>
                <c:formatCode>General</c:formatCode>
                <c:ptCount val="88"/>
                <c:pt idx="0">
                  <c:v>0.12689</c:v>
                </c:pt>
                <c:pt idx="1">
                  <c:v>0.11614000000000001</c:v>
                </c:pt>
                <c:pt idx="2">
                  <c:v>8.9900000000000008E-2</c:v>
                </c:pt>
                <c:pt idx="3">
                  <c:v>4.6449999999999998E-2</c:v>
                </c:pt>
                <c:pt idx="4">
                  <c:v>2.1670000000000002E-2</c:v>
                </c:pt>
                <c:pt idx="5">
                  <c:v>1.468E-2</c:v>
                </c:pt>
                <c:pt idx="6">
                  <c:v>1.1840000000000002E-2</c:v>
                </c:pt>
                <c:pt idx="7">
                  <c:v>9.8800000000000016E-3</c:v>
                </c:pt>
                <c:pt idx="8">
                  <c:v>8.6700000000000024E-3</c:v>
                </c:pt>
                <c:pt idx="9">
                  <c:v>7.729999999999999E-3</c:v>
                </c:pt>
                <c:pt idx="10">
                  <c:v>6.9900000000000014E-3</c:v>
                </c:pt>
                <c:pt idx="11">
                  <c:v>6.3800000000000003E-3</c:v>
                </c:pt>
                <c:pt idx="12">
                  <c:v>5.9300000000000012E-3</c:v>
                </c:pt>
                <c:pt idx="13">
                  <c:v>5.5200000000000006E-3</c:v>
                </c:pt>
                <c:pt idx="14">
                  <c:v>5.1500000000000001E-3</c:v>
                </c:pt>
                <c:pt idx="15">
                  <c:v>4.8900000000000002E-3</c:v>
                </c:pt>
                <c:pt idx="16">
                  <c:v>4.5900000000000003E-3</c:v>
                </c:pt>
                <c:pt idx="17">
                  <c:v>4.4500000000000008E-3</c:v>
                </c:pt>
                <c:pt idx="18">
                  <c:v>4.2000000000000006E-3</c:v>
                </c:pt>
                <c:pt idx="19">
                  <c:v>4.1100000000000008E-3</c:v>
                </c:pt>
                <c:pt idx="20">
                  <c:v>3.9500000000000004E-3</c:v>
                </c:pt>
                <c:pt idx="21">
                  <c:v>3.9199999999999999E-3</c:v>
                </c:pt>
                <c:pt idx="22">
                  <c:v>3.7800000000000004E-3</c:v>
                </c:pt>
                <c:pt idx="23">
                  <c:v>3.6300000000000013E-3</c:v>
                </c:pt>
                <c:pt idx="24">
                  <c:v>3.62E-3</c:v>
                </c:pt>
                <c:pt idx="25">
                  <c:v>3.5000000000000014E-3</c:v>
                </c:pt>
                <c:pt idx="26">
                  <c:v>3.4000000000000002E-3</c:v>
                </c:pt>
                <c:pt idx="27">
                  <c:v>3.4000000000000002E-3</c:v>
                </c:pt>
                <c:pt idx="28">
                  <c:v>3.3000000000000008E-3</c:v>
                </c:pt>
                <c:pt idx="29">
                  <c:v>3.2799999999999999E-3</c:v>
                </c:pt>
                <c:pt idx="30">
                  <c:v>3.2900000000000013E-3</c:v>
                </c:pt>
                <c:pt idx="31">
                  <c:v>3.3000000000000008E-3</c:v>
                </c:pt>
                <c:pt idx="32">
                  <c:v>3.3000000000000008E-3</c:v>
                </c:pt>
                <c:pt idx="33">
                  <c:v>3.3000000000000008E-3</c:v>
                </c:pt>
                <c:pt idx="34">
                  <c:v>3.3000000000000008E-3</c:v>
                </c:pt>
                <c:pt idx="35">
                  <c:v>3.3800000000000011E-3</c:v>
                </c:pt>
                <c:pt idx="36">
                  <c:v>3.4300000000000008E-3</c:v>
                </c:pt>
                <c:pt idx="37">
                  <c:v>3.5700000000000003E-3</c:v>
                </c:pt>
                <c:pt idx="38">
                  <c:v>3.6300000000000013E-3</c:v>
                </c:pt>
                <c:pt idx="39">
                  <c:v>3.9500000000000004E-3</c:v>
                </c:pt>
                <c:pt idx="40">
                  <c:v>4.3E-3</c:v>
                </c:pt>
                <c:pt idx="41">
                  <c:v>4.9700000000000005E-3</c:v>
                </c:pt>
                <c:pt idx="42">
                  <c:v>4.7600000000000003E-3</c:v>
                </c:pt>
                <c:pt idx="43">
                  <c:v>4.2700000000000012E-3</c:v>
                </c:pt>
                <c:pt idx="44">
                  <c:v>3.850000000000001E-3</c:v>
                </c:pt>
                <c:pt idx="45">
                  <c:v>3.5700000000000003E-3</c:v>
                </c:pt>
                <c:pt idx="46">
                  <c:v>3.3100000000000004E-3</c:v>
                </c:pt>
                <c:pt idx="47">
                  <c:v>3.0800000000000011E-3</c:v>
                </c:pt>
                <c:pt idx="48">
                  <c:v>2.8400000000000005E-3</c:v>
                </c:pt>
                <c:pt idx="49">
                  <c:v>2.6800000000000001E-3</c:v>
                </c:pt>
                <c:pt idx="50">
                  <c:v>2.5200000000000014E-3</c:v>
                </c:pt>
                <c:pt idx="51">
                  <c:v>2.4299999999999999E-3</c:v>
                </c:pt>
                <c:pt idx="52">
                  <c:v>2.2300000000000011E-3</c:v>
                </c:pt>
                <c:pt idx="53">
                  <c:v>2.1299999999999999E-3</c:v>
                </c:pt>
                <c:pt idx="54">
                  <c:v>2.0700000000000007E-3</c:v>
                </c:pt>
                <c:pt idx="55">
                  <c:v>1.9800000000000009E-3</c:v>
                </c:pt>
                <c:pt idx="56">
                  <c:v>1.9100000000000002E-3</c:v>
                </c:pt>
                <c:pt idx="57">
                  <c:v>1.8400000000000014E-3</c:v>
                </c:pt>
                <c:pt idx="58">
                  <c:v>1.7400000000000002E-3</c:v>
                </c:pt>
                <c:pt idx="59">
                  <c:v>1.6900000000000005E-3</c:v>
                </c:pt>
                <c:pt idx="60">
                  <c:v>1.66E-3</c:v>
                </c:pt>
                <c:pt idx="61">
                  <c:v>1.5900000000000011E-3</c:v>
                </c:pt>
                <c:pt idx="62">
                  <c:v>1.5600000000000006E-3</c:v>
                </c:pt>
                <c:pt idx="63">
                  <c:v>1.5000000000000013E-3</c:v>
                </c:pt>
                <c:pt idx="64">
                  <c:v>1.5100000000000009E-3</c:v>
                </c:pt>
                <c:pt idx="65">
                  <c:v>1.4400000000000003E-3</c:v>
                </c:pt>
                <c:pt idx="66">
                  <c:v>1.4300000000000007E-3</c:v>
                </c:pt>
                <c:pt idx="67">
                  <c:v>1.380000000000001E-3</c:v>
                </c:pt>
                <c:pt idx="68">
                  <c:v>1.3700000000000014E-3</c:v>
                </c:pt>
                <c:pt idx="69">
                  <c:v>1.3000000000000008E-3</c:v>
                </c:pt>
                <c:pt idx="70">
                  <c:v>1.2300000000000002E-3</c:v>
                </c:pt>
                <c:pt idx="71">
                  <c:v>1.2600000000000007E-3</c:v>
                </c:pt>
                <c:pt idx="72">
                  <c:v>1.2200000000000006E-3</c:v>
                </c:pt>
                <c:pt idx="73">
                  <c:v>1.2000000000000014E-3</c:v>
                </c:pt>
                <c:pt idx="74">
                  <c:v>1.1600000000000013E-3</c:v>
                </c:pt>
                <c:pt idx="75">
                  <c:v>1.1400000000000004E-3</c:v>
                </c:pt>
                <c:pt idx="76">
                  <c:v>1.15E-3</c:v>
                </c:pt>
                <c:pt idx="77">
                  <c:v>1.0900000000000007E-3</c:v>
                </c:pt>
                <c:pt idx="78">
                  <c:v>1.0700000000000015E-3</c:v>
                </c:pt>
                <c:pt idx="79">
                  <c:v>1.0200000000000001E-3</c:v>
                </c:pt>
                <c:pt idx="80">
                  <c:v>1.040000000000001E-3</c:v>
                </c:pt>
                <c:pt idx="81">
                  <c:v>1.0200000000000001E-3</c:v>
                </c:pt>
                <c:pt idx="82">
                  <c:v>9.7000000000000038E-4</c:v>
                </c:pt>
                <c:pt idx="83">
                  <c:v>9.3999999999999986E-4</c:v>
                </c:pt>
                <c:pt idx="84">
                  <c:v>9.7999999999999997E-4</c:v>
                </c:pt>
                <c:pt idx="85">
                  <c:v>9.6000000000000078E-4</c:v>
                </c:pt>
                <c:pt idx="86">
                  <c:v>9.1000000000000109E-4</c:v>
                </c:pt>
                <c:pt idx="87">
                  <c:v>9.3000000000000027E-4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1-564D-9987-D6412C8970B5}"/>
            </c:ext>
          </c:extLst>
        </c:ser>
        <c:ser>
          <c:idx val="1"/>
          <c:order val="1"/>
          <c:tx>
            <c:v>curie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"/>
            <c:dispRSqr val="0"/>
            <c:dispEq val="1"/>
            <c:trendlineLbl>
              <c:layout>
                <c:manualLayout>
                  <c:x val="-1.0615333882431764E-2"/>
                  <c:y val="-9.03327718405546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Dy!$C$7:$C$91</c:f>
              <c:numCache>
                <c:formatCode>General</c:formatCode>
                <c:ptCount val="85"/>
                <c:pt idx="0">
                  <c:v>87.1</c:v>
                </c:pt>
                <c:pt idx="1">
                  <c:v>89.5</c:v>
                </c:pt>
                <c:pt idx="2">
                  <c:v>91.9</c:v>
                </c:pt>
                <c:pt idx="3">
                  <c:v>94.3</c:v>
                </c:pt>
                <c:pt idx="4">
                  <c:v>96.8</c:v>
                </c:pt>
                <c:pt idx="5">
                  <c:v>99.2</c:v>
                </c:pt>
                <c:pt idx="6">
                  <c:v>101.7</c:v>
                </c:pt>
                <c:pt idx="7">
                  <c:v>104.1</c:v>
                </c:pt>
                <c:pt idx="8">
                  <c:v>106.5</c:v>
                </c:pt>
                <c:pt idx="9">
                  <c:v>109</c:v>
                </c:pt>
                <c:pt idx="10">
                  <c:v>111.4</c:v>
                </c:pt>
                <c:pt idx="11">
                  <c:v>113.9</c:v>
                </c:pt>
                <c:pt idx="12">
                  <c:v>116.3</c:v>
                </c:pt>
                <c:pt idx="13">
                  <c:v>118.8</c:v>
                </c:pt>
                <c:pt idx="14">
                  <c:v>121.3</c:v>
                </c:pt>
                <c:pt idx="15">
                  <c:v>123.7</c:v>
                </c:pt>
                <c:pt idx="16">
                  <c:v>126.2</c:v>
                </c:pt>
                <c:pt idx="17">
                  <c:v>128.69999999999999</c:v>
                </c:pt>
                <c:pt idx="18">
                  <c:v>131.1</c:v>
                </c:pt>
                <c:pt idx="19">
                  <c:v>133.6</c:v>
                </c:pt>
                <c:pt idx="20">
                  <c:v>136.1</c:v>
                </c:pt>
                <c:pt idx="21">
                  <c:v>138.6</c:v>
                </c:pt>
                <c:pt idx="22">
                  <c:v>141.1</c:v>
                </c:pt>
                <c:pt idx="23">
                  <c:v>143.5</c:v>
                </c:pt>
                <c:pt idx="24">
                  <c:v>146</c:v>
                </c:pt>
                <c:pt idx="25">
                  <c:v>148.5</c:v>
                </c:pt>
                <c:pt idx="26">
                  <c:v>151</c:v>
                </c:pt>
                <c:pt idx="27">
                  <c:v>153.5</c:v>
                </c:pt>
                <c:pt idx="28">
                  <c:v>156</c:v>
                </c:pt>
                <c:pt idx="29">
                  <c:v>158.5</c:v>
                </c:pt>
                <c:pt idx="30">
                  <c:v>161</c:v>
                </c:pt>
                <c:pt idx="31">
                  <c:v>163.5</c:v>
                </c:pt>
                <c:pt idx="32">
                  <c:v>166</c:v>
                </c:pt>
                <c:pt idx="33">
                  <c:v>168.6</c:v>
                </c:pt>
                <c:pt idx="34">
                  <c:v>171.1</c:v>
                </c:pt>
                <c:pt idx="35">
                  <c:v>173.6</c:v>
                </c:pt>
                <c:pt idx="36">
                  <c:v>176.1</c:v>
                </c:pt>
                <c:pt idx="37">
                  <c:v>178.6</c:v>
                </c:pt>
                <c:pt idx="38">
                  <c:v>181.2</c:v>
                </c:pt>
                <c:pt idx="39">
                  <c:v>183.7</c:v>
                </c:pt>
                <c:pt idx="40">
                  <c:v>186.2</c:v>
                </c:pt>
                <c:pt idx="41">
                  <c:v>188.8</c:v>
                </c:pt>
                <c:pt idx="42">
                  <c:v>191.3</c:v>
                </c:pt>
                <c:pt idx="43">
                  <c:v>193.9</c:v>
                </c:pt>
                <c:pt idx="44">
                  <c:v>196.4</c:v>
                </c:pt>
                <c:pt idx="45">
                  <c:v>199</c:v>
                </c:pt>
                <c:pt idx="46">
                  <c:v>201.5</c:v>
                </c:pt>
                <c:pt idx="47">
                  <c:v>204.1</c:v>
                </c:pt>
                <c:pt idx="48">
                  <c:v>206.6</c:v>
                </c:pt>
                <c:pt idx="49">
                  <c:v>209.2</c:v>
                </c:pt>
                <c:pt idx="50">
                  <c:v>211.7</c:v>
                </c:pt>
                <c:pt idx="51">
                  <c:v>214.3</c:v>
                </c:pt>
                <c:pt idx="52">
                  <c:v>216.9</c:v>
                </c:pt>
                <c:pt idx="53">
                  <c:v>219.5</c:v>
                </c:pt>
                <c:pt idx="54">
                  <c:v>222</c:v>
                </c:pt>
                <c:pt idx="55">
                  <c:v>224.6</c:v>
                </c:pt>
                <c:pt idx="56">
                  <c:v>227.2</c:v>
                </c:pt>
                <c:pt idx="57">
                  <c:v>229.8</c:v>
                </c:pt>
                <c:pt idx="58">
                  <c:v>232.3</c:v>
                </c:pt>
                <c:pt idx="59">
                  <c:v>234.6</c:v>
                </c:pt>
                <c:pt idx="60">
                  <c:v>237.5</c:v>
                </c:pt>
                <c:pt idx="61">
                  <c:v>240.1</c:v>
                </c:pt>
                <c:pt idx="62">
                  <c:v>242.7</c:v>
                </c:pt>
                <c:pt idx="63">
                  <c:v>245.3</c:v>
                </c:pt>
                <c:pt idx="64">
                  <c:v>247.9</c:v>
                </c:pt>
                <c:pt idx="65">
                  <c:v>250.5</c:v>
                </c:pt>
                <c:pt idx="66">
                  <c:v>253.1</c:v>
                </c:pt>
                <c:pt idx="67">
                  <c:v>255.7</c:v>
                </c:pt>
                <c:pt idx="68">
                  <c:v>258.39999999999998</c:v>
                </c:pt>
                <c:pt idx="69">
                  <c:v>261</c:v>
                </c:pt>
                <c:pt idx="70">
                  <c:v>263.60000000000002</c:v>
                </c:pt>
                <c:pt idx="71">
                  <c:v>266.2</c:v>
                </c:pt>
                <c:pt idx="72">
                  <c:v>268.2</c:v>
                </c:pt>
                <c:pt idx="73">
                  <c:v>271.5</c:v>
                </c:pt>
                <c:pt idx="74">
                  <c:v>274.10000000000002</c:v>
                </c:pt>
                <c:pt idx="75">
                  <c:v>276.7</c:v>
                </c:pt>
                <c:pt idx="76">
                  <c:v>279.39999999999998</c:v>
                </c:pt>
                <c:pt idx="77">
                  <c:v>282</c:v>
                </c:pt>
                <c:pt idx="78">
                  <c:v>284.7</c:v>
                </c:pt>
                <c:pt idx="79">
                  <c:v>287.3</c:v>
                </c:pt>
                <c:pt idx="80">
                  <c:v>289.89999999999998</c:v>
                </c:pt>
                <c:pt idx="81">
                  <c:v>292.60000000000002</c:v>
                </c:pt>
                <c:pt idx="82">
                  <c:v>295.3</c:v>
                </c:pt>
                <c:pt idx="83">
                  <c:v>297.89999999999998</c:v>
                </c:pt>
                <c:pt idx="84">
                  <c:v>300.60000000000002</c:v>
                </c:pt>
              </c:numCache>
            </c:numRef>
          </c:xVal>
          <c:yVal>
            <c:numRef>
              <c:f>Dy!$F$7:$F$8</c:f>
              <c:numCache>
                <c:formatCode>General</c:formatCode>
                <c:ptCount val="2"/>
                <c:pt idx="0">
                  <c:v>4.6449999999999998E-2</c:v>
                </c:pt>
                <c:pt idx="1">
                  <c:v>2.1670000000000002E-2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8B-469F-9069-A032582C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952480"/>
        <c:axId val="996954128"/>
      </c:scatterChart>
      <c:valAx>
        <c:axId val="99695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温度</a:t>
                </a:r>
                <a:r>
                  <a:rPr lang="en-US" altLang="ja-JP" sz="1800"/>
                  <a:t>T [K]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954128"/>
        <c:crosses val="autoZero"/>
        <c:crossBetween val="midCat"/>
      </c:valAx>
      <c:valAx>
        <c:axId val="99695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磁化</a:t>
                </a:r>
                <a:r>
                  <a:rPr lang="en-US" altLang="ja-JP" sz="1800"/>
                  <a:t>I [T]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95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ジスプロシウムの磁化率の逆数</a:t>
            </a:r>
            <a:r>
              <a:rPr lang="en-US" altLang="ja-JP" sz="1800"/>
              <a:t>1/χ</a:t>
            </a:r>
            <a:r>
              <a:rPr lang="ja-JP" altLang="en-US" sz="1800"/>
              <a:t>と温度</a:t>
            </a:r>
            <a:r>
              <a:rPr lang="en-US" altLang="ja-JP" sz="1800"/>
              <a:t>T</a:t>
            </a:r>
            <a:r>
              <a:rPr lang="ja-JP" altLang="en-US" sz="1800"/>
              <a:t>の関係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dy常磁性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Dy!$C$52:$C$57</c:f>
              <c:numCache>
                <c:formatCode>General</c:formatCode>
                <c:ptCount val="6"/>
                <c:pt idx="0">
                  <c:v>199</c:v>
                </c:pt>
                <c:pt idx="1">
                  <c:v>201.5</c:v>
                </c:pt>
                <c:pt idx="2">
                  <c:v>204.1</c:v>
                </c:pt>
                <c:pt idx="3">
                  <c:v>206.6</c:v>
                </c:pt>
                <c:pt idx="4">
                  <c:v>209.2</c:v>
                </c:pt>
                <c:pt idx="5">
                  <c:v>211.7</c:v>
                </c:pt>
              </c:numCache>
            </c:numRef>
          </c:xVal>
          <c:yVal>
            <c:numRef>
              <c:f>Dy!$H$52:$H$57</c:f>
              <c:numCache>
                <c:formatCode>General</c:formatCode>
                <c:ptCount val="6"/>
                <c:pt idx="0">
                  <c:v>3128378.5211267597</c:v>
                </c:pt>
                <c:pt idx="1">
                  <c:v>3315147.3880597013</c:v>
                </c:pt>
                <c:pt idx="2">
                  <c:v>3525632.9365079342</c:v>
                </c:pt>
                <c:pt idx="3">
                  <c:v>3656211.9341563787</c:v>
                </c:pt>
                <c:pt idx="4">
                  <c:v>3984123.3183856485</c:v>
                </c:pt>
                <c:pt idx="5">
                  <c:v>4171171.3615023475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2A-41AB-BC61-46990E8A27E4}"/>
            </c:ext>
          </c:extLst>
        </c:ser>
        <c:ser>
          <c:idx val="0"/>
          <c:order val="1"/>
          <c:tx>
            <c:v>Dyの磁化率の逆数と温度の関係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Dy!$C$4:$C$91</c:f>
              <c:numCache>
                <c:formatCode>General</c:formatCode>
                <c:ptCount val="88"/>
                <c:pt idx="0">
                  <c:v>79.8</c:v>
                </c:pt>
                <c:pt idx="1">
                  <c:v>82.2</c:v>
                </c:pt>
                <c:pt idx="2">
                  <c:v>84.6</c:v>
                </c:pt>
                <c:pt idx="3">
                  <c:v>87.1</c:v>
                </c:pt>
                <c:pt idx="4">
                  <c:v>89.5</c:v>
                </c:pt>
                <c:pt idx="5">
                  <c:v>91.9</c:v>
                </c:pt>
                <c:pt idx="6">
                  <c:v>94.3</c:v>
                </c:pt>
                <c:pt idx="7">
                  <c:v>96.8</c:v>
                </c:pt>
                <c:pt idx="8">
                  <c:v>99.2</c:v>
                </c:pt>
                <c:pt idx="9">
                  <c:v>101.7</c:v>
                </c:pt>
                <c:pt idx="10">
                  <c:v>104.1</c:v>
                </c:pt>
                <c:pt idx="11">
                  <c:v>106.5</c:v>
                </c:pt>
                <c:pt idx="12">
                  <c:v>109</c:v>
                </c:pt>
                <c:pt idx="13">
                  <c:v>111.4</c:v>
                </c:pt>
                <c:pt idx="14">
                  <c:v>113.9</c:v>
                </c:pt>
                <c:pt idx="15">
                  <c:v>116.3</c:v>
                </c:pt>
                <c:pt idx="16">
                  <c:v>118.8</c:v>
                </c:pt>
                <c:pt idx="17">
                  <c:v>121.3</c:v>
                </c:pt>
                <c:pt idx="18">
                  <c:v>123.7</c:v>
                </c:pt>
                <c:pt idx="19">
                  <c:v>126.2</c:v>
                </c:pt>
                <c:pt idx="20">
                  <c:v>128.69999999999999</c:v>
                </c:pt>
                <c:pt idx="21">
                  <c:v>131.1</c:v>
                </c:pt>
                <c:pt idx="22">
                  <c:v>133.6</c:v>
                </c:pt>
                <c:pt idx="23">
                  <c:v>136.1</c:v>
                </c:pt>
                <c:pt idx="24">
                  <c:v>138.6</c:v>
                </c:pt>
                <c:pt idx="25">
                  <c:v>141.1</c:v>
                </c:pt>
                <c:pt idx="26">
                  <c:v>143.5</c:v>
                </c:pt>
                <c:pt idx="27">
                  <c:v>146</c:v>
                </c:pt>
                <c:pt idx="28">
                  <c:v>148.5</c:v>
                </c:pt>
                <c:pt idx="29">
                  <c:v>151</c:v>
                </c:pt>
                <c:pt idx="30">
                  <c:v>153.5</c:v>
                </c:pt>
                <c:pt idx="31">
                  <c:v>156</c:v>
                </c:pt>
                <c:pt idx="32">
                  <c:v>158.5</c:v>
                </c:pt>
                <c:pt idx="33">
                  <c:v>161</c:v>
                </c:pt>
                <c:pt idx="34">
                  <c:v>163.5</c:v>
                </c:pt>
                <c:pt idx="35">
                  <c:v>166</c:v>
                </c:pt>
                <c:pt idx="36">
                  <c:v>168.6</c:v>
                </c:pt>
                <c:pt idx="37">
                  <c:v>171.1</c:v>
                </c:pt>
                <c:pt idx="38">
                  <c:v>173.6</c:v>
                </c:pt>
                <c:pt idx="39">
                  <c:v>176.1</c:v>
                </c:pt>
                <c:pt idx="40">
                  <c:v>178.6</c:v>
                </c:pt>
                <c:pt idx="41">
                  <c:v>181.2</c:v>
                </c:pt>
                <c:pt idx="42">
                  <c:v>183.7</c:v>
                </c:pt>
                <c:pt idx="43">
                  <c:v>186.2</c:v>
                </c:pt>
                <c:pt idx="44">
                  <c:v>188.8</c:v>
                </c:pt>
                <c:pt idx="45">
                  <c:v>191.3</c:v>
                </c:pt>
                <c:pt idx="46">
                  <c:v>193.9</c:v>
                </c:pt>
                <c:pt idx="47">
                  <c:v>196.4</c:v>
                </c:pt>
                <c:pt idx="48">
                  <c:v>199</c:v>
                </c:pt>
                <c:pt idx="49">
                  <c:v>201.5</c:v>
                </c:pt>
                <c:pt idx="50">
                  <c:v>204.1</c:v>
                </c:pt>
                <c:pt idx="51">
                  <c:v>206.6</c:v>
                </c:pt>
                <c:pt idx="52">
                  <c:v>209.2</c:v>
                </c:pt>
                <c:pt idx="53">
                  <c:v>211.7</c:v>
                </c:pt>
                <c:pt idx="54">
                  <c:v>214.3</c:v>
                </c:pt>
                <c:pt idx="55">
                  <c:v>216.9</c:v>
                </c:pt>
                <c:pt idx="56">
                  <c:v>219.5</c:v>
                </c:pt>
                <c:pt idx="57">
                  <c:v>222</c:v>
                </c:pt>
                <c:pt idx="58">
                  <c:v>224.6</c:v>
                </c:pt>
                <c:pt idx="59">
                  <c:v>227.2</c:v>
                </c:pt>
                <c:pt idx="60">
                  <c:v>229.8</c:v>
                </c:pt>
                <c:pt idx="61">
                  <c:v>232.3</c:v>
                </c:pt>
                <c:pt idx="62">
                  <c:v>234.6</c:v>
                </c:pt>
                <c:pt idx="63">
                  <c:v>237.5</c:v>
                </c:pt>
                <c:pt idx="64">
                  <c:v>240.1</c:v>
                </c:pt>
                <c:pt idx="65">
                  <c:v>242.7</c:v>
                </c:pt>
                <c:pt idx="66">
                  <c:v>245.3</c:v>
                </c:pt>
                <c:pt idx="67">
                  <c:v>247.9</c:v>
                </c:pt>
                <c:pt idx="68">
                  <c:v>250.5</c:v>
                </c:pt>
                <c:pt idx="69">
                  <c:v>253.1</c:v>
                </c:pt>
                <c:pt idx="70">
                  <c:v>255.7</c:v>
                </c:pt>
                <c:pt idx="71">
                  <c:v>258.39999999999998</c:v>
                </c:pt>
                <c:pt idx="72">
                  <c:v>261</c:v>
                </c:pt>
                <c:pt idx="73">
                  <c:v>263.60000000000002</c:v>
                </c:pt>
                <c:pt idx="74">
                  <c:v>266.2</c:v>
                </c:pt>
                <c:pt idx="75">
                  <c:v>268.2</c:v>
                </c:pt>
                <c:pt idx="76">
                  <c:v>271.5</c:v>
                </c:pt>
                <c:pt idx="77">
                  <c:v>274.10000000000002</c:v>
                </c:pt>
                <c:pt idx="78">
                  <c:v>276.7</c:v>
                </c:pt>
                <c:pt idx="79">
                  <c:v>279.39999999999998</c:v>
                </c:pt>
                <c:pt idx="80">
                  <c:v>282</c:v>
                </c:pt>
                <c:pt idx="81">
                  <c:v>284.7</c:v>
                </c:pt>
                <c:pt idx="82">
                  <c:v>287.3</c:v>
                </c:pt>
                <c:pt idx="83">
                  <c:v>289.89999999999998</c:v>
                </c:pt>
                <c:pt idx="84">
                  <c:v>292.60000000000002</c:v>
                </c:pt>
                <c:pt idx="85">
                  <c:v>295.3</c:v>
                </c:pt>
                <c:pt idx="86">
                  <c:v>297.89999999999998</c:v>
                </c:pt>
                <c:pt idx="87">
                  <c:v>300.60000000000002</c:v>
                </c:pt>
              </c:numCache>
            </c:numRef>
          </c:xVal>
          <c:yVal>
            <c:numRef>
              <c:f>Dy!$H$4:$H$91</c:f>
              <c:numCache>
                <c:formatCode>General</c:formatCode>
                <c:ptCount val="88"/>
                <c:pt idx="0">
                  <c:v>70018.086531641573</c:v>
                </c:pt>
                <c:pt idx="1">
                  <c:v>76499.009815739613</c:v>
                </c:pt>
                <c:pt idx="2">
                  <c:v>98827.530589543923</c:v>
                </c:pt>
                <c:pt idx="3">
                  <c:v>191272.22820236813</c:v>
                </c:pt>
                <c:pt idx="4">
                  <c:v>409995.15459160117</c:v>
                </c:pt>
                <c:pt idx="5">
                  <c:v>605217.6430517711</c:v>
                </c:pt>
                <c:pt idx="6">
                  <c:v>750388.0912162161</c:v>
                </c:pt>
                <c:pt idx="7">
                  <c:v>899250.50607287418</c:v>
                </c:pt>
                <c:pt idx="8">
                  <c:v>1024751.4417531716</c:v>
                </c:pt>
                <c:pt idx="9">
                  <c:v>1149365.4592496767</c:v>
                </c:pt>
                <c:pt idx="10">
                  <c:v>1271043.6337625175</c:v>
                </c:pt>
                <c:pt idx="11">
                  <c:v>1392569.7492163009</c:v>
                </c:pt>
                <c:pt idx="12">
                  <c:v>1498245.3625632375</c:v>
                </c:pt>
                <c:pt idx="13">
                  <c:v>1609528.0797101445</c:v>
                </c:pt>
                <c:pt idx="14">
                  <c:v>1725164.0776699029</c:v>
                </c:pt>
                <c:pt idx="15">
                  <c:v>1816890.5930470347</c:v>
                </c:pt>
                <c:pt idx="16">
                  <c:v>1935641.6122004353</c:v>
                </c:pt>
                <c:pt idx="17">
                  <c:v>1996538.2022471905</c:v>
                </c:pt>
                <c:pt idx="18">
                  <c:v>2115379.7619047617</c:v>
                </c:pt>
                <c:pt idx="19">
                  <c:v>2161701.946472019</c:v>
                </c:pt>
                <c:pt idx="20">
                  <c:v>2249264.5569620249</c:v>
                </c:pt>
                <c:pt idx="21">
                  <c:v>2266478.3163265302</c:v>
                </c:pt>
                <c:pt idx="22">
                  <c:v>2350421.9576719571</c:v>
                </c:pt>
                <c:pt idx="23">
                  <c:v>2447546.8319559218</c:v>
                </c:pt>
                <c:pt idx="24">
                  <c:v>2454308.0110497237</c:v>
                </c:pt>
                <c:pt idx="25">
                  <c:v>2538455.7142857132</c:v>
                </c:pt>
                <c:pt idx="26">
                  <c:v>2613116.1764705875</c:v>
                </c:pt>
                <c:pt idx="27">
                  <c:v>2613116.1764705875</c:v>
                </c:pt>
                <c:pt idx="28">
                  <c:v>2692301.5151515142</c:v>
                </c:pt>
                <c:pt idx="29">
                  <c:v>2708717.9878048776</c:v>
                </c:pt>
                <c:pt idx="30">
                  <c:v>2700484.8024316099</c:v>
                </c:pt>
                <c:pt idx="31">
                  <c:v>2692301.5151515142</c:v>
                </c:pt>
                <c:pt idx="32">
                  <c:v>2692301.5151515142</c:v>
                </c:pt>
                <c:pt idx="33">
                  <c:v>2692301.5151515142</c:v>
                </c:pt>
                <c:pt idx="34">
                  <c:v>2692301.5151515142</c:v>
                </c:pt>
                <c:pt idx="35">
                  <c:v>2628578.4023668626</c:v>
                </c:pt>
                <c:pt idx="36">
                  <c:v>2590260.9329446056</c:v>
                </c:pt>
                <c:pt idx="37">
                  <c:v>2488682.0728291315</c:v>
                </c:pt>
                <c:pt idx="38">
                  <c:v>2447546.8319559218</c:v>
                </c:pt>
                <c:pt idx="39">
                  <c:v>2249264.5569620249</c:v>
                </c:pt>
                <c:pt idx="40">
                  <c:v>2066184.8837209302</c:v>
                </c:pt>
                <c:pt idx="41">
                  <c:v>1787644.8692152915</c:v>
                </c:pt>
                <c:pt idx="42">
                  <c:v>1866511.5546218487</c:v>
                </c:pt>
                <c:pt idx="43">
                  <c:v>2080701.405152224</c:v>
                </c:pt>
                <c:pt idx="44">
                  <c:v>2307687.012987012</c:v>
                </c:pt>
                <c:pt idx="45">
                  <c:v>2488682.0728291315</c:v>
                </c:pt>
                <c:pt idx="46">
                  <c:v>2684167.6737160115</c:v>
                </c:pt>
                <c:pt idx="47">
                  <c:v>2884608.7662337651</c:v>
                </c:pt>
                <c:pt idx="48">
                  <c:v>3128378.5211267597</c:v>
                </c:pt>
                <c:pt idx="49">
                  <c:v>3315147.3880597013</c:v>
                </c:pt>
                <c:pt idx="50">
                  <c:v>3525632.9365079342</c:v>
                </c:pt>
                <c:pt idx="51">
                  <c:v>3656211.9341563787</c:v>
                </c:pt>
                <c:pt idx="52">
                  <c:v>3984123.3183856485</c:v>
                </c:pt>
                <c:pt idx="53">
                  <c:v>4171171.3615023475</c:v>
                </c:pt>
                <c:pt idx="54">
                  <c:v>4292074.8792270515</c:v>
                </c:pt>
                <c:pt idx="55">
                  <c:v>4487169.1919191899</c:v>
                </c:pt>
                <c:pt idx="56">
                  <c:v>4651620.4188481672</c:v>
                </c:pt>
                <c:pt idx="57">
                  <c:v>4828584.2391304309</c:v>
                </c:pt>
                <c:pt idx="58">
                  <c:v>5106089.0804597689</c:v>
                </c:pt>
                <c:pt idx="59">
                  <c:v>5257156.8047337253</c:v>
                </c:pt>
                <c:pt idx="60">
                  <c:v>5352165.6626506019</c:v>
                </c:pt>
                <c:pt idx="61">
                  <c:v>5587795.597484272</c:v>
                </c:pt>
                <c:pt idx="62">
                  <c:v>5695253.2051282022</c:v>
                </c:pt>
                <c:pt idx="63">
                  <c:v>5923063.3333333274</c:v>
                </c:pt>
                <c:pt idx="64">
                  <c:v>5883837.7483443674</c:v>
                </c:pt>
                <c:pt idx="65">
                  <c:v>6169857.6388888862</c:v>
                </c:pt>
                <c:pt idx="66">
                  <c:v>6213003.4965034928</c:v>
                </c:pt>
                <c:pt idx="67">
                  <c:v>6438112.3188405745</c:v>
                </c:pt>
                <c:pt idx="68">
                  <c:v>6485105.8394160513</c:v>
                </c:pt>
                <c:pt idx="69">
                  <c:v>6834303.8461538404</c:v>
                </c:pt>
                <c:pt idx="70">
                  <c:v>7223247.9674796732</c:v>
                </c:pt>
                <c:pt idx="71">
                  <c:v>7051265.8730158685</c:v>
                </c:pt>
                <c:pt idx="72">
                  <c:v>7282454.9180327822</c:v>
                </c:pt>
                <c:pt idx="73">
                  <c:v>7403829.1666666567</c:v>
                </c:pt>
                <c:pt idx="74">
                  <c:v>7659133.6206896454</c:v>
                </c:pt>
                <c:pt idx="75">
                  <c:v>7793504.3859649096</c:v>
                </c:pt>
                <c:pt idx="76">
                  <c:v>7725734.7826086953</c:v>
                </c:pt>
                <c:pt idx="77">
                  <c:v>8151004.5871559568</c:v>
                </c:pt>
                <c:pt idx="78">
                  <c:v>8303359.8130840994</c:v>
                </c:pt>
                <c:pt idx="79">
                  <c:v>8710387.2549019605</c:v>
                </c:pt>
                <c:pt idx="80">
                  <c:v>8542879.8076922987</c:v>
                </c:pt>
                <c:pt idx="81">
                  <c:v>8710387.2549019605</c:v>
                </c:pt>
                <c:pt idx="82">
                  <c:v>9159376.2886597887</c:v>
                </c:pt>
                <c:pt idx="83">
                  <c:v>9451696.8085106388</c:v>
                </c:pt>
                <c:pt idx="84">
                  <c:v>9065913.2653061207</c:v>
                </c:pt>
                <c:pt idx="85">
                  <c:v>9254786.4583333246</c:v>
                </c:pt>
                <c:pt idx="86">
                  <c:v>9763291.2087911963</c:v>
                </c:pt>
                <c:pt idx="87">
                  <c:v>9553327.9569892436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2A-41AB-BC61-46990E8A2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66416"/>
        <c:axId val="1568869328"/>
      </c:scatterChart>
      <c:valAx>
        <c:axId val="156886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温度</a:t>
                </a:r>
                <a:r>
                  <a:rPr lang="en-US" altLang="ja-JP" sz="1800"/>
                  <a:t>T</a:t>
                </a:r>
                <a:r>
                  <a:rPr lang="ja-JP" altLang="en-US" sz="1800"/>
                  <a:t> </a:t>
                </a:r>
                <a:r>
                  <a:rPr lang="en-US" altLang="ja-JP" sz="1800"/>
                  <a:t>[K]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8869328"/>
        <c:crosses val="autoZero"/>
        <c:crossBetween val="midCat"/>
      </c:valAx>
      <c:valAx>
        <c:axId val="156886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磁化率の逆数</a:t>
                </a:r>
                <a:r>
                  <a:rPr lang="en-US" altLang="ja-JP" sz="1800"/>
                  <a:t>1/χ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886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692526</xdr:colOff>
      <xdr:row>1</xdr:row>
      <xdr:rowOff>213948</xdr:rowOff>
    </xdr:from>
    <xdr:to>
      <xdr:col>30</xdr:col>
      <xdr:colOff>683454</xdr:colOff>
      <xdr:row>12</xdr:row>
      <xdr:rowOff>165590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E134F4F-17F7-4842-A2DD-73E3448C2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838200</xdr:colOff>
      <xdr:row>9</xdr:row>
      <xdr:rowOff>235857</xdr:rowOff>
    </xdr:from>
    <xdr:to>
      <xdr:col>27</xdr:col>
      <xdr:colOff>914399</xdr:colOff>
      <xdr:row>34</xdr:row>
      <xdr:rowOff>7257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7926289-7741-4552-B904-703A3F21C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10583</xdr:colOff>
      <xdr:row>28</xdr:row>
      <xdr:rowOff>46564</xdr:rowOff>
    </xdr:from>
    <xdr:to>
      <xdr:col>30</xdr:col>
      <xdr:colOff>1</xdr:colOff>
      <xdr:row>53</xdr:row>
      <xdr:rowOff>179916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7DEF19-1D6B-4A32-8D4C-5BA1B9AE4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132292</xdr:colOff>
      <xdr:row>26</xdr:row>
      <xdr:rowOff>79376</xdr:rowOff>
    </xdr:from>
    <xdr:to>
      <xdr:col>27</xdr:col>
      <xdr:colOff>497416</xdr:colOff>
      <xdr:row>50</xdr:row>
      <xdr:rowOff>63500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C11A67F-C454-4679-83FC-2191567C7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416277</xdr:colOff>
      <xdr:row>32</xdr:row>
      <xdr:rowOff>7760</xdr:rowOff>
    </xdr:from>
    <xdr:to>
      <xdr:col>12</xdr:col>
      <xdr:colOff>254000</xdr:colOff>
      <xdr:row>51</xdr:row>
      <xdr:rowOff>169333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B5D01BA-D02C-47A7-A3DF-7CFC5FC89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620181</xdr:colOff>
      <xdr:row>24</xdr:row>
      <xdr:rowOff>6349</xdr:rowOff>
    </xdr:from>
    <xdr:to>
      <xdr:col>26</xdr:col>
      <xdr:colOff>338666</xdr:colOff>
      <xdr:row>46</xdr:row>
      <xdr:rowOff>10583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F058FA2-120D-4047-B852-6B03CF6FE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370416</xdr:colOff>
      <xdr:row>32</xdr:row>
      <xdr:rowOff>131233</xdr:rowOff>
    </xdr:from>
    <xdr:to>
      <xdr:col>14</xdr:col>
      <xdr:colOff>650874</xdr:colOff>
      <xdr:row>49</xdr:row>
      <xdr:rowOff>174625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BEC9719-713E-4E29-89A8-44EF655A4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225777</xdr:colOff>
      <xdr:row>2</xdr:row>
      <xdr:rowOff>197556</xdr:rowOff>
    </xdr:from>
    <xdr:to>
      <xdr:col>23</xdr:col>
      <xdr:colOff>239888</xdr:colOff>
      <xdr:row>23</xdr:row>
      <xdr:rowOff>14112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5E7084B-2E11-3146-8189-79D0AAE9C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396119</xdr:colOff>
      <xdr:row>26</xdr:row>
      <xdr:rowOff>160261</xdr:rowOff>
    </xdr:from>
    <xdr:to>
      <xdr:col>18</xdr:col>
      <xdr:colOff>438452</xdr:colOff>
      <xdr:row>47</xdr:row>
      <xdr:rowOff>96761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840A5E9-6F76-4CA4-AE21-26B3F76A4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E40E-A19E-3144-A570-2652CB4B314B}">
  <dimension ref="A2:AJ43"/>
  <sheetViews>
    <sheetView zoomScale="40" zoomScaleNormal="40" workbookViewId="0">
      <selection activeCell="D5" sqref="D5"/>
    </sheetView>
  </sheetViews>
  <sheetFormatPr defaultColWidth="11.07421875" defaultRowHeight="20" x14ac:dyDescent="0.6"/>
  <cols>
    <col min="12" max="12" width="14.15234375" customWidth="1"/>
  </cols>
  <sheetData>
    <row r="2" spans="1:36" x14ac:dyDescent="0.6">
      <c r="A2" t="s">
        <v>5</v>
      </c>
      <c r="B2" t="s">
        <v>6</v>
      </c>
      <c r="C2" t="s">
        <v>3</v>
      </c>
      <c r="D2" t="s">
        <v>4</v>
      </c>
      <c r="F2" t="s">
        <v>2</v>
      </c>
      <c r="G2" t="s">
        <v>7</v>
      </c>
      <c r="H2" t="s">
        <v>10</v>
      </c>
      <c r="I2" t="s">
        <v>11</v>
      </c>
      <c r="K2" t="s">
        <v>14</v>
      </c>
      <c r="L2" t="s">
        <v>15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>
        <v>21</v>
      </c>
    </row>
    <row r="3" spans="1:36" x14ac:dyDescent="0.6">
      <c r="B3">
        <v>23</v>
      </c>
      <c r="C3">
        <v>7473.57</v>
      </c>
      <c r="D3">
        <v>0.50931000000000004</v>
      </c>
      <c r="F3">
        <f>B3+273</f>
        <v>296</v>
      </c>
      <c r="G3">
        <f t="shared" ref="G3:G27" si="0">D3-(4*3.14*(10^-7)*7471.8252)</f>
        <v>0.49992538754880006</v>
      </c>
      <c r="H3">
        <f t="shared" ref="H3:H27" si="1">F3/$I$30</f>
        <v>0.46614173228346456</v>
      </c>
      <c r="I3">
        <f>G3/0.52623725</f>
        <v>0.950000000092734</v>
      </c>
      <c r="K3">
        <v>0.1</v>
      </c>
      <c r="L3">
        <f>2*_xlfn.COTH(2*K3)-_xlfn.COTH(K3)</f>
        <v>9.9667994624955014E-2</v>
      </c>
      <c r="M3">
        <f>$H$3*K3</f>
        <v>4.6614173228346462E-2</v>
      </c>
      <c r="N3">
        <f>$H$4*K3</f>
        <v>5.0866141732283467E-2</v>
      </c>
      <c r="O3">
        <f>$H$5*K3</f>
        <v>5.5590551181102371E-2</v>
      </c>
      <c r="P3">
        <f>$H$6*K3</f>
        <v>6.0314960629921255E-2</v>
      </c>
      <c r="Q3">
        <f>$H$7*K3</f>
        <v>6.5039370078740152E-2</v>
      </c>
      <c r="R3">
        <f>$H$8*K3</f>
        <v>6.9763779527559064E-2</v>
      </c>
      <c r="S3">
        <f>$H$9*K3</f>
        <v>7.4488188976377961E-2</v>
      </c>
      <c r="T3">
        <f>$H$10*K3</f>
        <v>7.9212598425196845E-2</v>
      </c>
      <c r="U3">
        <f>H$11*$K3</f>
        <v>8.0787401574803158E-2</v>
      </c>
      <c r="V3">
        <f>$H$12*$K3</f>
        <v>8.2362204724409457E-2</v>
      </c>
      <c r="W3">
        <f>H13*$K3</f>
        <v>8.3937007874015757E-2</v>
      </c>
      <c r="X3">
        <f>$H$14*$K3</f>
        <v>8.5511811023622042E-2</v>
      </c>
      <c r="Y3">
        <f>$H$15*$K3</f>
        <v>8.7086614173228355E-2</v>
      </c>
      <c r="Z3">
        <f>$H$16*$K3</f>
        <v>8.8661417322834654E-2</v>
      </c>
      <c r="AA3">
        <f>$H$17*$K3</f>
        <v>9.0236220472440953E-2</v>
      </c>
      <c r="AB3">
        <f>$H$18*$K3</f>
        <v>9.1811023622047239E-2</v>
      </c>
      <c r="AC3">
        <f>$H$19*$K3</f>
        <v>9.3385826771653552E-2</v>
      </c>
      <c r="AD3">
        <f>$H$20*$K3</f>
        <v>9.4960629921259851E-2</v>
      </c>
      <c r="AE3">
        <f>$H$21*$K3</f>
        <v>9.653543307086615E-2</v>
      </c>
      <c r="AF3">
        <f>$H$22*$K3</f>
        <v>9.8110236220472435E-2</v>
      </c>
      <c r="AG3">
        <f>$H$23*$K3</f>
        <v>9.9685039370078748E-2</v>
      </c>
      <c r="AI3">
        <v>2.1</v>
      </c>
      <c r="AJ3">
        <f>2*_xlfn.COTH(2*AI3)-_xlfn.COTH(AI3)</f>
        <v>0.9704519366134543</v>
      </c>
    </row>
    <row r="4" spans="1:36" x14ac:dyDescent="0.6">
      <c r="B4">
        <v>50</v>
      </c>
      <c r="C4">
        <v>7472.12</v>
      </c>
      <c r="D4">
        <v>0.51463999999999999</v>
      </c>
      <c r="F4">
        <f t="shared" ref="F4:F27" si="2">B4+273</f>
        <v>323</v>
      </c>
      <c r="G4">
        <f t="shared" si="0"/>
        <v>0.50525538754879995</v>
      </c>
      <c r="H4">
        <f t="shared" si="1"/>
        <v>0.50866141732283465</v>
      </c>
      <c r="I4">
        <f t="shared" ref="I4:I27" si="3">G4/0.52623725</f>
        <v>0.96012851151985146</v>
      </c>
      <c r="K4">
        <v>0.2</v>
      </c>
      <c r="L4">
        <f t="shared" ref="L4:L42" si="4">2*_xlfn.COTH(2*K4)-_xlfn.COTH(K4)</f>
        <v>0.19737532022490445</v>
      </c>
      <c r="M4">
        <f t="shared" ref="M4:M42" si="5">$H$3*K4</f>
        <v>9.3228346456692923E-2</v>
      </c>
      <c r="N4">
        <f>$H$4*K4</f>
        <v>0.10173228346456693</v>
      </c>
      <c r="O4">
        <f t="shared" ref="O4:O42" si="6">$H$5*K4</f>
        <v>0.11118110236220474</v>
      </c>
      <c r="P4">
        <f t="shared" ref="P4:P42" si="7">$H$6*K4</f>
        <v>0.12062992125984251</v>
      </c>
      <c r="Q4">
        <f t="shared" ref="Q4:Q42" si="8">$H$7*K4</f>
        <v>0.1300787401574803</v>
      </c>
      <c r="R4">
        <f t="shared" ref="R4:R42" si="9">$H$8*K4</f>
        <v>0.13952755905511813</v>
      </c>
      <c r="S4">
        <f t="shared" ref="S4:S42" si="10">$H$9*K4</f>
        <v>0.14897637795275592</v>
      </c>
      <c r="T4">
        <f t="shared" ref="T4:T42" si="11">$H$10*K4</f>
        <v>0.15842519685039369</v>
      </c>
      <c r="U4">
        <f>H$11*$K4</f>
        <v>0.16157480314960632</v>
      </c>
      <c r="V4">
        <f t="shared" ref="V4:V42" si="12">$H$12*$K4</f>
        <v>0.16472440944881891</v>
      </c>
      <c r="W4">
        <f>H$13*$K4</f>
        <v>0.16787401574803151</v>
      </c>
      <c r="X4">
        <f t="shared" ref="X4:X42" si="13">$H$14*$K4</f>
        <v>0.17102362204724408</v>
      </c>
      <c r="Y4">
        <f t="shared" ref="Y4:Y42" si="14">$H$15*$K4</f>
        <v>0.17417322834645671</v>
      </c>
      <c r="Z4">
        <f t="shared" ref="Z4:Z42" si="15">$H$16*$K4</f>
        <v>0.17732283464566931</v>
      </c>
      <c r="AA4">
        <f t="shared" ref="AA4:AA42" si="16">$H$17*$K4</f>
        <v>0.18047244094488191</v>
      </c>
      <c r="AB4">
        <f t="shared" ref="AB4:AB42" si="17">$H$18*$K4</f>
        <v>0.18362204724409448</v>
      </c>
      <c r="AC4">
        <f t="shared" ref="AC4:AC41" si="18">$H$19*$K4</f>
        <v>0.1867716535433071</v>
      </c>
      <c r="AD4">
        <f t="shared" ref="AD4:AD43" si="19">$H$20*$K4</f>
        <v>0.1899212598425197</v>
      </c>
      <c r="AE4">
        <f t="shared" ref="AE4:AE43" si="20">$H$21*$K4</f>
        <v>0.1930708661417323</v>
      </c>
      <c r="AF4">
        <f t="shared" ref="AF4:AF43" si="21">$H$22*$K4</f>
        <v>0.19622047244094487</v>
      </c>
      <c r="AG4">
        <f t="shared" ref="AG4:AG42" si="22">$H$23*$K4</f>
        <v>0.1993700787401575</v>
      </c>
      <c r="AI4">
        <v>1.9</v>
      </c>
      <c r="AJ4">
        <f t="shared" ref="AJ4:AJ22" si="23">2*_xlfn.COTH(2*AI4)-_xlfn.COTH(AI4)</f>
        <v>0.95623745812773886</v>
      </c>
    </row>
    <row r="5" spans="1:36" x14ac:dyDescent="0.6">
      <c r="B5">
        <v>80</v>
      </c>
      <c r="C5">
        <v>7473.33</v>
      </c>
      <c r="D5">
        <v>0.51036999999999999</v>
      </c>
      <c r="F5">
        <f t="shared" si="2"/>
        <v>353</v>
      </c>
      <c r="G5">
        <f t="shared" si="0"/>
        <v>0.50098538754879995</v>
      </c>
      <c r="H5">
        <f t="shared" si="1"/>
        <v>0.55590551181102366</v>
      </c>
      <c r="I5">
        <f t="shared" si="3"/>
        <v>0.95201430067673842</v>
      </c>
      <c r="K5">
        <v>0.3</v>
      </c>
      <c r="L5">
        <f t="shared" si="4"/>
        <v>0.29131261245159079</v>
      </c>
      <c r="M5">
        <f t="shared" si="5"/>
        <v>0.13984251968503936</v>
      </c>
      <c r="N5">
        <f t="shared" ref="N5:N22" si="24">$H$4*K5</f>
        <v>0.15259842519685038</v>
      </c>
      <c r="O5">
        <f t="shared" si="6"/>
        <v>0.16677165354330709</v>
      </c>
      <c r="P5">
        <f t="shared" si="7"/>
        <v>0.18094488188976376</v>
      </c>
      <c r="Q5">
        <f t="shared" si="8"/>
        <v>0.19511811023622047</v>
      </c>
      <c r="R5">
        <f t="shared" si="9"/>
        <v>0.20929133858267715</v>
      </c>
      <c r="S5">
        <f t="shared" si="10"/>
        <v>0.22346456692913386</v>
      </c>
      <c r="T5">
        <f t="shared" si="11"/>
        <v>0.23763779527559054</v>
      </c>
      <c r="U5">
        <f t="shared" ref="U5:U42" si="25">H$11*$K5</f>
        <v>0.24236220472440945</v>
      </c>
      <c r="V5">
        <f t="shared" si="12"/>
        <v>0.24708661417322833</v>
      </c>
      <c r="W5">
        <f t="shared" ref="W5:W42" si="26">H$13*$K5</f>
        <v>0.25181102362204721</v>
      </c>
      <c r="X5">
        <f t="shared" si="13"/>
        <v>0.25653543307086613</v>
      </c>
      <c r="Y5">
        <f t="shared" si="14"/>
        <v>0.26125984251968504</v>
      </c>
      <c r="Z5">
        <f t="shared" si="15"/>
        <v>0.26598425196850395</v>
      </c>
      <c r="AA5">
        <f t="shared" si="16"/>
        <v>0.2707086614173228</v>
      </c>
      <c r="AB5">
        <f t="shared" si="17"/>
        <v>0.27543307086614172</v>
      </c>
      <c r="AC5">
        <f t="shared" si="18"/>
        <v>0.28015748031496063</v>
      </c>
      <c r="AD5">
        <f t="shared" si="19"/>
        <v>0.28488188976377954</v>
      </c>
      <c r="AE5">
        <f t="shared" si="20"/>
        <v>0.28960629921259839</v>
      </c>
      <c r="AF5">
        <f t="shared" si="21"/>
        <v>0.29433070866141731</v>
      </c>
      <c r="AG5">
        <f t="shared" si="22"/>
        <v>0.29905511811023622</v>
      </c>
      <c r="AI5">
        <v>1.5</v>
      </c>
      <c r="AJ5">
        <f t="shared" si="23"/>
        <v>0.90514825364486606</v>
      </c>
    </row>
    <row r="6" spans="1:36" x14ac:dyDescent="0.6">
      <c r="B6">
        <v>110</v>
      </c>
      <c r="C6">
        <v>7472.12</v>
      </c>
      <c r="D6">
        <v>0.50087999999999999</v>
      </c>
      <c r="F6">
        <f t="shared" si="2"/>
        <v>383</v>
      </c>
      <c r="G6">
        <f t="shared" si="0"/>
        <v>0.49149538754880001</v>
      </c>
      <c r="H6">
        <f t="shared" si="1"/>
        <v>0.60314960629921255</v>
      </c>
      <c r="I6">
        <f t="shared" si="3"/>
        <v>0.93398060959918749</v>
      </c>
      <c r="K6">
        <v>0.4</v>
      </c>
      <c r="L6">
        <f t="shared" si="4"/>
        <v>0.37994896225522545</v>
      </c>
      <c r="M6">
        <f t="shared" si="5"/>
        <v>0.18645669291338585</v>
      </c>
      <c r="N6">
        <f t="shared" si="24"/>
        <v>0.20346456692913387</v>
      </c>
      <c r="O6">
        <f t="shared" si="6"/>
        <v>0.22236220472440948</v>
      </c>
      <c r="P6">
        <f t="shared" si="7"/>
        <v>0.24125984251968502</v>
      </c>
      <c r="Q6">
        <f t="shared" si="8"/>
        <v>0.26015748031496061</v>
      </c>
      <c r="R6">
        <f t="shared" si="9"/>
        <v>0.27905511811023626</v>
      </c>
      <c r="S6">
        <f t="shared" si="10"/>
        <v>0.29795275590551185</v>
      </c>
      <c r="T6">
        <f t="shared" si="11"/>
        <v>0.31685039370078738</v>
      </c>
      <c r="U6">
        <f t="shared" si="25"/>
        <v>0.32314960629921263</v>
      </c>
      <c r="V6">
        <f t="shared" si="12"/>
        <v>0.32944881889763783</v>
      </c>
      <c r="W6">
        <f t="shared" si="26"/>
        <v>0.33574803149606303</v>
      </c>
      <c r="X6">
        <f t="shared" si="13"/>
        <v>0.34204724409448817</v>
      </c>
      <c r="Y6">
        <f t="shared" si="14"/>
        <v>0.34834645669291342</v>
      </c>
      <c r="Z6">
        <f t="shared" si="15"/>
        <v>0.35464566929133862</v>
      </c>
      <c r="AA6">
        <f t="shared" si="16"/>
        <v>0.36094488188976381</v>
      </c>
      <c r="AB6">
        <f t="shared" si="17"/>
        <v>0.36724409448818895</v>
      </c>
      <c r="AC6">
        <f t="shared" si="18"/>
        <v>0.37354330708661421</v>
      </c>
      <c r="AD6">
        <f t="shared" si="19"/>
        <v>0.3798425196850394</v>
      </c>
      <c r="AE6">
        <f t="shared" si="20"/>
        <v>0.3861417322834646</v>
      </c>
      <c r="AF6">
        <f t="shared" si="21"/>
        <v>0.39244094488188974</v>
      </c>
      <c r="AG6">
        <f t="shared" si="22"/>
        <v>0.39874015748031499</v>
      </c>
      <c r="AI6">
        <v>1.3</v>
      </c>
      <c r="AJ6">
        <f t="shared" si="23"/>
        <v>0.86172315931330634</v>
      </c>
    </row>
    <row r="7" spans="1:36" x14ac:dyDescent="0.6">
      <c r="B7">
        <v>140</v>
      </c>
      <c r="C7">
        <v>7473.09</v>
      </c>
      <c r="D7">
        <v>0.48714000000000002</v>
      </c>
      <c r="F7">
        <f t="shared" si="2"/>
        <v>413</v>
      </c>
      <c r="G7">
        <f t="shared" si="0"/>
        <v>0.47775538754880004</v>
      </c>
      <c r="H7">
        <f t="shared" si="1"/>
        <v>0.65039370078740155</v>
      </c>
      <c r="I7">
        <f t="shared" si="3"/>
        <v>0.90787071334991976</v>
      </c>
      <c r="K7">
        <v>0.5</v>
      </c>
      <c r="L7">
        <f t="shared" si="4"/>
        <v>0.46211715726001001</v>
      </c>
      <c r="M7">
        <f t="shared" si="5"/>
        <v>0.23307086614173228</v>
      </c>
      <c r="N7">
        <f t="shared" si="24"/>
        <v>0.25433070866141733</v>
      </c>
      <c r="O7">
        <f t="shared" si="6"/>
        <v>0.27795275590551183</v>
      </c>
      <c r="P7">
        <f t="shared" si="7"/>
        <v>0.30157480314960627</v>
      </c>
      <c r="Q7">
        <f t="shared" si="8"/>
        <v>0.32519685039370078</v>
      </c>
      <c r="R7">
        <f t="shared" si="9"/>
        <v>0.34881889763779528</v>
      </c>
      <c r="S7">
        <f t="shared" si="10"/>
        <v>0.37244094488188978</v>
      </c>
      <c r="T7">
        <f t="shared" si="11"/>
        <v>0.39606299212598423</v>
      </c>
      <c r="U7">
        <f t="shared" si="25"/>
        <v>0.40393700787401576</v>
      </c>
      <c r="V7">
        <f t="shared" si="12"/>
        <v>0.41181102362204725</v>
      </c>
      <c r="W7">
        <f t="shared" si="26"/>
        <v>0.41968503937007873</v>
      </c>
      <c r="X7">
        <f t="shared" si="13"/>
        <v>0.42755905511811021</v>
      </c>
      <c r="Y7">
        <f t="shared" si="14"/>
        <v>0.43543307086614175</v>
      </c>
      <c r="Z7">
        <f t="shared" si="15"/>
        <v>0.44330708661417323</v>
      </c>
      <c r="AA7">
        <f t="shared" si="16"/>
        <v>0.45118110236220471</v>
      </c>
      <c r="AB7">
        <f t="shared" si="17"/>
        <v>0.45905511811023619</v>
      </c>
      <c r="AC7">
        <f t="shared" si="18"/>
        <v>0.46692913385826773</v>
      </c>
      <c r="AD7">
        <f t="shared" si="19"/>
        <v>0.47480314960629921</v>
      </c>
      <c r="AE7">
        <f t="shared" si="20"/>
        <v>0.4826771653543307</v>
      </c>
      <c r="AF7">
        <f t="shared" si="21"/>
        <v>0.49055118110236218</v>
      </c>
      <c r="AG7">
        <f t="shared" si="22"/>
        <v>0.49842519685039371</v>
      </c>
      <c r="AI7">
        <v>1.2</v>
      </c>
      <c r="AJ7">
        <f t="shared" si="23"/>
        <v>0.83365460701215555</v>
      </c>
    </row>
    <row r="8" spans="1:36" x14ac:dyDescent="0.6">
      <c r="B8">
        <v>170</v>
      </c>
      <c r="C8">
        <v>7473.33</v>
      </c>
      <c r="D8">
        <v>0.46024999999999999</v>
      </c>
      <c r="F8">
        <f t="shared" si="2"/>
        <v>443</v>
      </c>
      <c r="G8">
        <f t="shared" si="0"/>
        <v>0.45086538754880001</v>
      </c>
      <c r="H8">
        <f t="shared" si="1"/>
        <v>0.69763779527559056</v>
      </c>
      <c r="I8">
        <f t="shared" si="3"/>
        <v>0.85677208815757533</v>
      </c>
      <c r="K8">
        <v>0.6</v>
      </c>
      <c r="L8">
        <f t="shared" si="4"/>
        <v>0.53704956699803552</v>
      </c>
      <c r="M8">
        <f t="shared" si="5"/>
        <v>0.27968503937007871</v>
      </c>
      <c r="N8">
        <f t="shared" si="24"/>
        <v>0.30519685039370076</v>
      </c>
      <c r="O8">
        <f t="shared" si="6"/>
        <v>0.33354330708661417</v>
      </c>
      <c r="P8">
        <f t="shared" si="7"/>
        <v>0.36188976377952753</v>
      </c>
      <c r="Q8">
        <f t="shared" si="8"/>
        <v>0.39023622047244094</v>
      </c>
      <c r="R8">
        <f t="shared" si="9"/>
        <v>0.4185826771653543</v>
      </c>
      <c r="S8">
        <f t="shared" si="10"/>
        <v>0.44692913385826771</v>
      </c>
      <c r="T8">
        <f t="shared" si="11"/>
        <v>0.47527559055118107</v>
      </c>
      <c r="U8">
        <f t="shared" si="25"/>
        <v>0.48472440944881889</v>
      </c>
      <c r="V8">
        <f t="shared" si="12"/>
        <v>0.49417322834645666</v>
      </c>
      <c r="W8">
        <f t="shared" si="26"/>
        <v>0.50362204724409443</v>
      </c>
      <c r="X8">
        <f t="shared" si="13"/>
        <v>0.51307086614173225</v>
      </c>
      <c r="Y8">
        <f t="shared" si="14"/>
        <v>0.52251968503937007</v>
      </c>
      <c r="Z8">
        <f t="shared" si="15"/>
        <v>0.5319685039370079</v>
      </c>
      <c r="AA8">
        <f t="shared" si="16"/>
        <v>0.54141732283464561</v>
      </c>
      <c r="AB8">
        <f t="shared" si="17"/>
        <v>0.55086614173228343</v>
      </c>
      <c r="AC8">
        <f t="shared" si="18"/>
        <v>0.56031496062992125</v>
      </c>
      <c r="AD8">
        <f t="shared" si="19"/>
        <v>0.56976377952755908</v>
      </c>
      <c r="AE8">
        <f t="shared" si="20"/>
        <v>0.57921259842519679</v>
      </c>
      <c r="AF8">
        <f t="shared" si="21"/>
        <v>0.58866141732283461</v>
      </c>
      <c r="AG8">
        <f t="shared" si="22"/>
        <v>0.59811023622047244</v>
      </c>
      <c r="AI8">
        <v>1</v>
      </c>
      <c r="AJ8">
        <f t="shared" si="23"/>
        <v>0.76159415595576441</v>
      </c>
    </row>
    <row r="9" spans="1:36" x14ac:dyDescent="0.6">
      <c r="B9">
        <v>200</v>
      </c>
      <c r="C9">
        <v>7473.09</v>
      </c>
      <c r="D9">
        <v>0.41575000000000001</v>
      </c>
      <c r="F9">
        <f t="shared" si="2"/>
        <v>473</v>
      </c>
      <c r="G9">
        <f t="shared" si="0"/>
        <v>0.40636538754880003</v>
      </c>
      <c r="H9">
        <f t="shared" si="1"/>
        <v>0.74488188976377956</v>
      </c>
      <c r="I9">
        <f t="shared" si="3"/>
        <v>0.7722094693007765</v>
      </c>
      <c r="K9">
        <v>0.7</v>
      </c>
      <c r="L9">
        <f t="shared" si="4"/>
        <v>0.60436777711716405</v>
      </c>
      <c r="M9">
        <f t="shared" si="5"/>
        <v>0.32629921259842515</v>
      </c>
      <c r="N9">
        <f t="shared" si="24"/>
        <v>0.35606299212598425</v>
      </c>
      <c r="O9">
        <f t="shared" si="6"/>
        <v>0.38913385826771651</v>
      </c>
      <c r="P9">
        <f t="shared" si="7"/>
        <v>0.42220472440944878</v>
      </c>
      <c r="Q9">
        <f t="shared" si="8"/>
        <v>0.45527559055118105</v>
      </c>
      <c r="R9">
        <f t="shared" si="9"/>
        <v>0.48834645669291338</v>
      </c>
      <c r="S9">
        <f t="shared" si="10"/>
        <v>0.5214173228346457</v>
      </c>
      <c r="T9">
        <f t="shared" si="11"/>
        <v>0.55448818897637786</v>
      </c>
      <c r="U9">
        <f t="shared" si="25"/>
        <v>0.56551181102362202</v>
      </c>
      <c r="V9">
        <f t="shared" si="12"/>
        <v>0.57653543307086608</v>
      </c>
      <c r="W9">
        <f t="shared" si="26"/>
        <v>0.58755905511811013</v>
      </c>
      <c r="X9">
        <f t="shared" si="13"/>
        <v>0.59858267716535429</v>
      </c>
      <c r="Y9">
        <f t="shared" si="14"/>
        <v>0.60960629921259846</v>
      </c>
      <c r="Z9">
        <f t="shared" si="15"/>
        <v>0.62062992125984251</v>
      </c>
      <c r="AA9">
        <f t="shared" si="16"/>
        <v>0.63165354330708656</v>
      </c>
      <c r="AB9">
        <f t="shared" si="17"/>
        <v>0.64267716535433062</v>
      </c>
      <c r="AC9">
        <f t="shared" si="18"/>
        <v>0.65370078740157478</v>
      </c>
      <c r="AD9">
        <f t="shared" si="19"/>
        <v>0.66472440944881883</v>
      </c>
      <c r="AE9">
        <f t="shared" si="20"/>
        <v>0.67574803149606288</v>
      </c>
      <c r="AF9">
        <f t="shared" si="21"/>
        <v>0.68677165354330705</v>
      </c>
      <c r="AG9">
        <f t="shared" si="22"/>
        <v>0.69779527559055121</v>
      </c>
      <c r="AI9">
        <v>0.9</v>
      </c>
      <c r="AJ9">
        <f t="shared" si="23"/>
        <v>0.7162978701990248</v>
      </c>
    </row>
    <row r="10" spans="1:36" x14ac:dyDescent="0.6">
      <c r="B10">
        <v>230</v>
      </c>
      <c r="C10">
        <v>7472.6</v>
      </c>
      <c r="D10">
        <v>0.37280999999999997</v>
      </c>
      <c r="F10">
        <f t="shared" si="2"/>
        <v>503</v>
      </c>
      <c r="G10">
        <f t="shared" si="0"/>
        <v>0.36342538754879999</v>
      </c>
      <c r="H10">
        <f t="shared" si="1"/>
        <v>0.79212598425196845</v>
      </c>
      <c r="I10">
        <f t="shared" si="3"/>
        <v>0.69061129281289002</v>
      </c>
      <c r="K10">
        <v>0.8</v>
      </c>
      <c r="L10">
        <f t="shared" si="4"/>
        <v>0.66403677026784913</v>
      </c>
      <c r="M10">
        <f t="shared" si="5"/>
        <v>0.37291338582677169</v>
      </c>
      <c r="N10">
        <f t="shared" si="24"/>
        <v>0.40692913385826773</v>
      </c>
      <c r="O10">
        <f t="shared" si="6"/>
        <v>0.44472440944881897</v>
      </c>
      <c r="P10">
        <f t="shared" si="7"/>
        <v>0.48251968503937004</v>
      </c>
      <c r="Q10">
        <f t="shared" si="8"/>
        <v>0.52031496062992122</v>
      </c>
      <c r="R10">
        <f t="shared" si="9"/>
        <v>0.55811023622047251</v>
      </c>
      <c r="S10">
        <f t="shared" si="10"/>
        <v>0.59590551181102369</v>
      </c>
      <c r="T10">
        <f t="shared" si="11"/>
        <v>0.63370078740157476</v>
      </c>
      <c r="U10">
        <f t="shared" si="25"/>
        <v>0.64629921259842527</v>
      </c>
      <c r="V10">
        <f t="shared" si="12"/>
        <v>0.65889763779527566</v>
      </c>
      <c r="W10">
        <f t="shared" si="26"/>
        <v>0.67149606299212605</v>
      </c>
      <c r="X10">
        <f t="shared" si="13"/>
        <v>0.68409448818897634</v>
      </c>
      <c r="Y10">
        <f t="shared" si="14"/>
        <v>0.69669291338582684</v>
      </c>
      <c r="Z10">
        <f t="shared" si="15"/>
        <v>0.70929133858267723</v>
      </c>
      <c r="AA10">
        <f t="shared" si="16"/>
        <v>0.72188976377952763</v>
      </c>
      <c r="AB10">
        <f t="shared" si="17"/>
        <v>0.73448818897637791</v>
      </c>
      <c r="AC10">
        <f t="shared" si="18"/>
        <v>0.74708661417322841</v>
      </c>
      <c r="AD10">
        <f t="shared" si="19"/>
        <v>0.75968503937007881</v>
      </c>
      <c r="AE10">
        <f t="shared" si="20"/>
        <v>0.7722834645669292</v>
      </c>
      <c r="AF10">
        <f t="shared" si="21"/>
        <v>0.78488188976377948</v>
      </c>
      <c r="AG10">
        <f t="shared" si="22"/>
        <v>0.79748031496062999</v>
      </c>
      <c r="AI10">
        <v>0.8</v>
      </c>
      <c r="AJ10">
        <f t="shared" si="23"/>
        <v>0.66403677026784913</v>
      </c>
    </row>
    <row r="11" spans="1:36" x14ac:dyDescent="0.6">
      <c r="B11">
        <v>240</v>
      </c>
      <c r="C11">
        <v>7470.68</v>
      </c>
      <c r="D11">
        <v>0.35669000000000001</v>
      </c>
      <c r="F11">
        <f t="shared" si="2"/>
        <v>513</v>
      </c>
      <c r="G11">
        <f t="shared" si="0"/>
        <v>0.34730538754880003</v>
      </c>
      <c r="H11">
        <f t="shared" si="1"/>
        <v>0.80787401574803153</v>
      </c>
      <c r="I11">
        <f t="shared" si="3"/>
        <v>0.65997872166746085</v>
      </c>
      <c r="K11">
        <v>0.9</v>
      </c>
      <c r="L11">
        <f t="shared" si="4"/>
        <v>0.7162978701990248</v>
      </c>
      <c r="M11">
        <f t="shared" si="5"/>
        <v>0.41952755905511813</v>
      </c>
      <c r="N11">
        <f t="shared" si="24"/>
        <v>0.45779527559055122</v>
      </c>
      <c r="O11">
        <f t="shared" si="6"/>
        <v>0.50031496062992131</v>
      </c>
      <c r="P11">
        <f t="shared" si="7"/>
        <v>0.54283464566929129</v>
      </c>
      <c r="Q11">
        <f t="shared" si="8"/>
        <v>0.58535433070866139</v>
      </c>
      <c r="R11">
        <f t="shared" si="9"/>
        <v>0.62787401574803148</v>
      </c>
      <c r="S11">
        <f t="shared" si="10"/>
        <v>0.67039370078740157</v>
      </c>
      <c r="T11">
        <f t="shared" si="11"/>
        <v>0.71291338582677166</v>
      </c>
      <c r="U11">
        <f t="shared" si="25"/>
        <v>0.7270866141732284</v>
      </c>
      <c r="V11">
        <f t="shared" si="12"/>
        <v>0.74125984251968502</v>
      </c>
      <c r="W11">
        <f t="shared" si="26"/>
        <v>0.75543307086614175</v>
      </c>
      <c r="X11">
        <f t="shared" si="13"/>
        <v>0.76960629921259838</v>
      </c>
      <c r="Y11">
        <f t="shared" si="14"/>
        <v>0.78377952755905511</v>
      </c>
      <c r="Z11">
        <f t="shared" si="15"/>
        <v>0.79795275590551185</v>
      </c>
      <c r="AA11">
        <f t="shared" si="16"/>
        <v>0.81212598425196847</v>
      </c>
      <c r="AB11">
        <f t="shared" si="17"/>
        <v>0.8262992125984252</v>
      </c>
      <c r="AC11">
        <f t="shared" si="18"/>
        <v>0.84047244094488194</v>
      </c>
      <c r="AD11">
        <f t="shared" si="19"/>
        <v>0.85464566929133856</v>
      </c>
      <c r="AE11">
        <f t="shared" si="20"/>
        <v>0.8688188976377953</v>
      </c>
      <c r="AF11">
        <f t="shared" si="21"/>
        <v>0.88299212598425192</v>
      </c>
      <c r="AG11">
        <f t="shared" si="22"/>
        <v>0.89716535433070865</v>
      </c>
      <c r="AI11">
        <v>0.78</v>
      </c>
      <c r="AJ11">
        <f t="shared" si="23"/>
        <v>0.65270670596198999</v>
      </c>
    </row>
    <row r="12" spans="1:36" x14ac:dyDescent="0.6">
      <c r="B12">
        <v>250</v>
      </c>
      <c r="C12">
        <v>7473.33</v>
      </c>
      <c r="D12">
        <v>0.33905000000000002</v>
      </c>
      <c r="F12">
        <f t="shared" si="2"/>
        <v>523</v>
      </c>
      <c r="G12">
        <f t="shared" si="0"/>
        <v>0.32966538754880004</v>
      </c>
      <c r="H12">
        <f t="shared" si="1"/>
        <v>0.82362204724409449</v>
      </c>
      <c r="I12">
        <f t="shared" si="3"/>
        <v>0.62645771949591189</v>
      </c>
      <c r="K12">
        <v>1</v>
      </c>
      <c r="L12">
        <f t="shared" si="4"/>
        <v>0.76159415595576441</v>
      </c>
      <c r="M12">
        <f t="shared" si="5"/>
        <v>0.46614173228346456</v>
      </c>
      <c r="N12">
        <f t="shared" si="24"/>
        <v>0.50866141732283465</v>
      </c>
      <c r="O12">
        <f t="shared" si="6"/>
        <v>0.55590551181102366</v>
      </c>
      <c r="P12">
        <f t="shared" si="7"/>
        <v>0.60314960629921255</v>
      </c>
      <c r="Q12">
        <f t="shared" si="8"/>
        <v>0.65039370078740155</v>
      </c>
      <c r="R12">
        <f t="shared" si="9"/>
        <v>0.69763779527559056</v>
      </c>
      <c r="S12">
        <f t="shared" si="10"/>
        <v>0.74488188976377956</v>
      </c>
      <c r="T12">
        <f t="shared" si="11"/>
        <v>0.79212598425196845</v>
      </c>
      <c r="U12">
        <f t="shared" si="25"/>
        <v>0.80787401574803153</v>
      </c>
      <c r="V12">
        <f t="shared" si="12"/>
        <v>0.82362204724409449</v>
      </c>
      <c r="W12">
        <f t="shared" si="26"/>
        <v>0.83937007874015745</v>
      </c>
      <c r="X12">
        <f t="shared" si="13"/>
        <v>0.85511811023622042</v>
      </c>
      <c r="Y12">
        <f t="shared" si="14"/>
        <v>0.87086614173228349</v>
      </c>
      <c r="Z12">
        <f t="shared" si="15"/>
        <v>0.88661417322834646</v>
      </c>
      <c r="AA12">
        <f t="shared" si="16"/>
        <v>0.90236220472440942</v>
      </c>
      <c r="AB12">
        <f t="shared" si="17"/>
        <v>0.91811023622047239</v>
      </c>
      <c r="AC12">
        <f t="shared" si="18"/>
        <v>0.93385826771653546</v>
      </c>
      <c r="AD12">
        <f t="shared" si="19"/>
        <v>0.94960629921259843</v>
      </c>
      <c r="AE12">
        <f t="shared" si="20"/>
        <v>0.96535433070866139</v>
      </c>
      <c r="AF12">
        <f t="shared" si="21"/>
        <v>0.98110236220472435</v>
      </c>
      <c r="AG12">
        <f t="shared" si="22"/>
        <v>0.99685039370078743</v>
      </c>
      <c r="AI12">
        <v>0.75</v>
      </c>
      <c r="AJ12">
        <f>2*_xlfn.COTH(2*AI12)-_xlfn.COTH(AI12)</f>
        <v>0.6351489523872873</v>
      </c>
    </row>
    <row r="13" spans="1:36" x14ac:dyDescent="0.6">
      <c r="B13">
        <v>260</v>
      </c>
      <c r="C13">
        <v>7471.88</v>
      </c>
      <c r="D13">
        <v>0.32251000000000002</v>
      </c>
      <c r="F13">
        <f t="shared" si="2"/>
        <v>533</v>
      </c>
      <c r="G13">
        <f t="shared" si="0"/>
        <v>0.31312538754880004</v>
      </c>
      <c r="H13">
        <f t="shared" si="1"/>
        <v>0.83937007874015745</v>
      </c>
      <c r="I13">
        <f t="shared" si="3"/>
        <v>0.59502702925116013</v>
      </c>
      <c r="K13">
        <v>1.1000000000000001</v>
      </c>
      <c r="L13">
        <f>2*_xlfn.COTH(2*K13)-_xlfn.COTH(K13)</f>
        <v>0.80049902176062959</v>
      </c>
      <c r="M13">
        <f t="shared" si="5"/>
        <v>0.51275590551181105</v>
      </c>
      <c r="N13">
        <f t="shared" si="24"/>
        <v>0.5595275590551182</v>
      </c>
      <c r="O13">
        <f t="shared" si="6"/>
        <v>0.61149606299212611</v>
      </c>
      <c r="P13">
        <f t="shared" si="7"/>
        <v>0.6634645669291338</v>
      </c>
      <c r="Q13">
        <f t="shared" si="8"/>
        <v>0.71543307086614172</v>
      </c>
      <c r="R13">
        <f t="shared" si="9"/>
        <v>0.76740157480314963</v>
      </c>
      <c r="S13">
        <f t="shared" si="10"/>
        <v>0.81937007874015755</v>
      </c>
      <c r="T13">
        <f t="shared" si="11"/>
        <v>0.87133858267716535</v>
      </c>
      <c r="U13">
        <f t="shared" si="25"/>
        <v>0.88866141732283477</v>
      </c>
      <c r="V13">
        <f t="shared" si="12"/>
        <v>0.90598425196850396</v>
      </c>
      <c r="W13">
        <f t="shared" si="26"/>
        <v>0.92330708661417327</v>
      </c>
      <c r="X13">
        <f t="shared" si="13"/>
        <v>0.94062992125984257</v>
      </c>
      <c r="Y13">
        <f t="shared" si="14"/>
        <v>0.95795275590551188</v>
      </c>
      <c r="Z13">
        <f t="shared" si="15"/>
        <v>0.97527559055118118</v>
      </c>
      <c r="AA13">
        <f t="shared" si="16"/>
        <v>0.99259842519685049</v>
      </c>
      <c r="AB13">
        <f t="shared" si="17"/>
        <v>1.0099212598425198</v>
      </c>
      <c r="AC13">
        <f t="shared" si="18"/>
        <v>1.0272440944881891</v>
      </c>
      <c r="AD13">
        <f t="shared" si="19"/>
        <v>1.0445669291338584</v>
      </c>
      <c r="AE13">
        <f t="shared" si="20"/>
        <v>1.0618897637795277</v>
      </c>
      <c r="AF13">
        <f t="shared" si="21"/>
        <v>1.0792125984251968</v>
      </c>
      <c r="AG13">
        <f t="shared" si="22"/>
        <v>1.0965354330708663</v>
      </c>
      <c r="AI13">
        <v>0.73</v>
      </c>
      <c r="AJ13">
        <f t="shared" si="23"/>
        <v>0.62306534957236082</v>
      </c>
    </row>
    <row r="14" spans="1:36" x14ac:dyDescent="0.6">
      <c r="B14">
        <v>270</v>
      </c>
      <c r="C14">
        <v>7470.44</v>
      </c>
      <c r="D14">
        <v>0.30825000000000002</v>
      </c>
      <c r="F14">
        <f t="shared" si="2"/>
        <v>543</v>
      </c>
      <c r="G14">
        <f t="shared" si="0"/>
        <v>0.29886538754880004</v>
      </c>
      <c r="H14">
        <f t="shared" si="1"/>
        <v>0.85511811023622042</v>
      </c>
      <c r="I14">
        <f t="shared" si="3"/>
        <v>0.56792898554558813</v>
      </c>
      <c r="K14">
        <v>1.2</v>
      </c>
      <c r="L14">
        <f t="shared" si="4"/>
        <v>0.83365460701215555</v>
      </c>
      <c r="M14">
        <f t="shared" si="5"/>
        <v>0.55937007874015743</v>
      </c>
      <c r="N14">
        <f t="shared" si="24"/>
        <v>0.61039370078740152</v>
      </c>
      <c r="O14">
        <f t="shared" si="6"/>
        <v>0.66708661417322834</v>
      </c>
      <c r="P14">
        <f t="shared" si="7"/>
        <v>0.72377952755905506</v>
      </c>
      <c r="Q14">
        <f t="shared" si="8"/>
        <v>0.78047244094488188</v>
      </c>
      <c r="R14">
        <f t="shared" si="9"/>
        <v>0.8371653543307086</v>
      </c>
      <c r="S14">
        <f t="shared" si="10"/>
        <v>0.89385826771653543</v>
      </c>
      <c r="T14">
        <f t="shared" si="11"/>
        <v>0.95055118110236214</v>
      </c>
      <c r="U14">
        <f t="shared" si="25"/>
        <v>0.96944881889763779</v>
      </c>
      <c r="V14">
        <f t="shared" si="12"/>
        <v>0.98834645669291332</v>
      </c>
      <c r="W14">
        <f t="shared" si="26"/>
        <v>1.0072440944881889</v>
      </c>
      <c r="X14">
        <f t="shared" si="13"/>
        <v>1.0261417322834645</v>
      </c>
      <c r="Y14">
        <f t="shared" si="14"/>
        <v>1.0450393700787401</v>
      </c>
      <c r="Z14">
        <f t="shared" si="15"/>
        <v>1.0639370078740158</v>
      </c>
      <c r="AA14">
        <f t="shared" si="16"/>
        <v>1.0828346456692912</v>
      </c>
      <c r="AB14">
        <f t="shared" si="17"/>
        <v>1.1017322834645669</v>
      </c>
      <c r="AC14">
        <f t="shared" si="18"/>
        <v>1.1206299212598425</v>
      </c>
      <c r="AD14">
        <f t="shared" si="19"/>
        <v>1.1395275590551182</v>
      </c>
      <c r="AE14">
        <f t="shared" si="20"/>
        <v>1.1584251968503936</v>
      </c>
      <c r="AF14">
        <f t="shared" si="21"/>
        <v>1.1773228346456692</v>
      </c>
      <c r="AG14">
        <f t="shared" si="22"/>
        <v>1.1962204724409449</v>
      </c>
      <c r="AI14">
        <v>0.7</v>
      </c>
      <c r="AJ14">
        <f t="shared" si="23"/>
        <v>0.60436777711716405</v>
      </c>
    </row>
    <row r="15" spans="1:36" x14ac:dyDescent="0.6">
      <c r="B15">
        <v>280</v>
      </c>
      <c r="C15">
        <v>7472.12</v>
      </c>
      <c r="D15">
        <v>0.29253000000000001</v>
      </c>
      <c r="F15">
        <f t="shared" si="2"/>
        <v>553</v>
      </c>
      <c r="G15">
        <f t="shared" si="0"/>
        <v>0.28314538754880003</v>
      </c>
      <c r="H15">
        <f t="shared" si="1"/>
        <v>0.87086614173228349</v>
      </c>
      <c r="I15">
        <f t="shared" si="3"/>
        <v>0.53805652782808522</v>
      </c>
      <c r="K15">
        <v>1.3</v>
      </c>
      <c r="L15">
        <f t="shared" si="4"/>
        <v>0.86172315931330634</v>
      </c>
      <c r="M15">
        <f t="shared" si="5"/>
        <v>0.60598425196850392</v>
      </c>
      <c r="N15">
        <f t="shared" si="24"/>
        <v>0.66125984251968506</v>
      </c>
      <c r="O15">
        <f t="shared" si="6"/>
        <v>0.7226771653543308</v>
      </c>
      <c r="P15">
        <f t="shared" si="7"/>
        <v>0.78409448818897631</v>
      </c>
      <c r="Q15">
        <f t="shared" si="8"/>
        <v>0.84551181102362205</v>
      </c>
      <c r="R15">
        <f t="shared" si="9"/>
        <v>0.90692913385826779</v>
      </c>
      <c r="S15">
        <f t="shared" si="10"/>
        <v>0.96834645669291342</v>
      </c>
      <c r="T15">
        <f t="shared" si="11"/>
        <v>1.0297637795275589</v>
      </c>
      <c r="U15">
        <f t="shared" si="25"/>
        <v>1.0502362204724409</v>
      </c>
      <c r="V15">
        <f t="shared" si="12"/>
        <v>1.0707086614173229</v>
      </c>
      <c r="W15">
        <f t="shared" si="26"/>
        <v>1.0911811023622047</v>
      </c>
      <c r="X15">
        <f t="shared" si="13"/>
        <v>1.1116535433070867</v>
      </c>
      <c r="Y15">
        <f t="shared" si="14"/>
        <v>1.1321259842519686</v>
      </c>
      <c r="Z15">
        <f t="shared" si="15"/>
        <v>1.1525984251968504</v>
      </c>
      <c r="AA15">
        <f t="shared" si="16"/>
        <v>1.1730708661417324</v>
      </c>
      <c r="AB15">
        <f t="shared" si="17"/>
        <v>1.1935433070866142</v>
      </c>
      <c r="AC15">
        <f t="shared" si="18"/>
        <v>1.2140157480314961</v>
      </c>
      <c r="AD15">
        <f t="shared" si="19"/>
        <v>1.2344881889763779</v>
      </c>
      <c r="AE15">
        <f t="shared" si="20"/>
        <v>1.2549606299212599</v>
      </c>
      <c r="AF15">
        <f t="shared" si="21"/>
        <v>1.2754330708661417</v>
      </c>
      <c r="AG15">
        <f t="shared" si="22"/>
        <v>1.2959055118110236</v>
      </c>
      <c r="AI15">
        <v>0.63</v>
      </c>
      <c r="AJ15">
        <f t="shared" si="23"/>
        <v>0.55805221555962414</v>
      </c>
    </row>
    <row r="16" spans="1:36" x14ac:dyDescent="0.6">
      <c r="B16">
        <v>290</v>
      </c>
      <c r="C16">
        <v>7473.09</v>
      </c>
      <c r="D16">
        <v>0.27567999999999998</v>
      </c>
      <c r="F16">
        <f t="shared" si="2"/>
        <v>563</v>
      </c>
      <c r="G16">
        <f t="shared" si="0"/>
        <v>0.2662953875488</v>
      </c>
      <c r="H16">
        <f t="shared" si="1"/>
        <v>0.88661417322834646</v>
      </c>
      <c r="I16">
        <f t="shared" si="3"/>
        <v>0.50603674967669054</v>
      </c>
      <c r="K16">
        <v>1.4</v>
      </c>
      <c r="L16">
        <f t="shared" si="4"/>
        <v>0.88535164820226253</v>
      </c>
      <c r="M16">
        <f t="shared" si="5"/>
        <v>0.6525984251968503</v>
      </c>
      <c r="N16">
        <f t="shared" si="24"/>
        <v>0.71212598425196849</v>
      </c>
      <c r="O16">
        <f t="shared" si="6"/>
        <v>0.77826771653543303</v>
      </c>
      <c r="P16">
        <f t="shared" si="7"/>
        <v>0.84440944881889757</v>
      </c>
      <c r="Q16">
        <f t="shared" si="8"/>
        <v>0.91055118110236211</v>
      </c>
      <c r="R16">
        <f t="shared" si="9"/>
        <v>0.97669291338582676</v>
      </c>
      <c r="S16">
        <f t="shared" si="10"/>
        <v>1.0428346456692914</v>
      </c>
      <c r="T16">
        <f t="shared" si="11"/>
        <v>1.1089763779527557</v>
      </c>
      <c r="U16">
        <f t="shared" si="25"/>
        <v>1.131023622047244</v>
      </c>
      <c r="V16">
        <f t="shared" si="12"/>
        <v>1.1530708661417322</v>
      </c>
      <c r="W16">
        <f t="shared" si="26"/>
        <v>1.1751181102362203</v>
      </c>
      <c r="X16">
        <f t="shared" si="13"/>
        <v>1.1971653543307086</v>
      </c>
      <c r="Y16">
        <f t="shared" si="14"/>
        <v>1.2192125984251969</v>
      </c>
      <c r="Z16">
        <f t="shared" si="15"/>
        <v>1.241259842519685</v>
      </c>
      <c r="AA16">
        <f t="shared" si="16"/>
        <v>1.2633070866141731</v>
      </c>
      <c r="AB16">
        <f t="shared" si="17"/>
        <v>1.2853543307086612</v>
      </c>
      <c r="AC16">
        <f t="shared" si="18"/>
        <v>1.3074015748031496</v>
      </c>
      <c r="AD16">
        <f t="shared" si="19"/>
        <v>1.3294488188976377</v>
      </c>
      <c r="AE16">
        <f t="shared" si="20"/>
        <v>1.3514960629921258</v>
      </c>
      <c r="AF16">
        <f t="shared" si="21"/>
        <v>1.3735433070866141</v>
      </c>
      <c r="AG16">
        <f t="shared" si="22"/>
        <v>1.3955905511811024</v>
      </c>
      <c r="AI16">
        <v>0.6</v>
      </c>
      <c r="AJ16">
        <f t="shared" si="23"/>
        <v>0.53704956699803552</v>
      </c>
    </row>
    <row r="17" spans="2:36" x14ac:dyDescent="0.6">
      <c r="B17">
        <v>300</v>
      </c>
      <c r="C17">
        <v>7471.64</v>
      </c>
      <c r="D17">
        <v>0.25553999999999999</v>
      </c>
      <c r="F17">
        <f t="shared" si="2"/>
        <v>573</v>
      </c>
      <c r="G17">
        <f t="shared" si="0"/>
        <v>0.24615538754879998</v>
      </c>
      <c r="H17">
        <f t="shared" si="1"/>
        <v>0.90236220472440942</v>
      </c>
      <c r="I17">
        <f t="shared" si="3"/>
        <v>0.46776503858060214</v>
      </c>
      <c r="K17">
        <v>1.5</v>
      </c>
      <c r="L17">
        <f t="shared" si="4"/>
        <v>0.90514825364486606</v>
      </c>
      <c r="M17">
        <f t="shared" si="5"/>
        <v>0.6992125984251969</v>
      </c>
      <c r="N17">
        <f t="shared" si="24"/>
        <v>0.76299212598425203</v>
      </c>
      <c r="O17">
        <f t="shared" si="6"/>
        <v>0.83385826771653548</v>
      </c>
      <c r="P17">
        <f t="shared" si="7"/>
        <v>0.90472440944881882</v>
      </c>
      <c r="Q17">
        <f t="shared" si="8"/>
        <v>0.97559055118110227</v>
      </c>
      <c r="R17">
        <f t="shared" si="9"/>
        <v>1.0464566929133858</v>
      </c>
      <c r="S17">
        <f t="shared" si="10"/>
        <v>1.1173228346456694</v>
      </c>
      <c r="T17">
        <f t="shared" si="11"/>
        <v>1.1881889763779527</v>
      </c>
      <c r="U17">
        <f t="shared" si="25"/>
        <v>1.2118110236220474</v>
      </c>
      <c r="V17">
        <f t="shared" si="12"/>
        <v>1.2354330708661418</v>
      </c>
      <c r="W17">
        <f t="shared" si="26"/>
        <v>1.2590551181102363</v>
      </c>
      <c r="X17">
        <f t="shared" si="13"/>
        <v>1.2826771653543307</v>
      </c>
      <c r="Y17">
        <f t="shared" si="14"/>
        <v>1.3062992125984252</v>
      </c>
      <c r="Z17">
        <f t="shared" si="15"/>
        <v>1.3299212598425196</v>
      </c>
      <c r="AA17">
        <f t="shared" si="16"/>
        <v>1.3535433070866141</v>
      </c>
      <c r="AB17">
        <f t="shared" si="17"/>
        <v>1.3771653543307085</v>
      </c>
      <c r="AC17">
        <f t="shared" si="18"/>
        <v>1.4007874015748032</v>
      </c>
      <c r="AD17">
        <f t="shared" si="19"/>
        <v>1.4244094488188976</v>
      </c>
      <c r="AE17">
        <f t="shared" si="20"/>
        <v>1.4480314960629921</v>
      </c>
      <c r="AF17">
        <f t="shared" si="21"/>
        <v>1.4716535433070865</v>
      </c>
      <c r="AG17">
        <f t="shared" si="22"/>
        <v>1.4952755905511812</v>
      </c>
      <c r="AI17">
        <v>0.5</v>
      </c>
      <c r="AJ17">
        <f t="shared" si="23"/>
        <v>0.46211715726001001</v>
      </c>
    </row>
    <row r="18" spans="2:36" x14ac:dyDescent="0.6">
      <c r="B18">
        <v>310</v>
      </c>
      <c r="C18">
        <v>7470.44</v>
      </c>
      <c r="D18">
        <v>0.23466000000000001</v>
      </c>
      <c r="F18">
        <f t="shared" si="2"/>
        <v>583</v>
      </c>
      <c r="G18">
        <f t="shared" si="0"/>
        <v>0.2252753875488</v>
      </c>
      <c r="H18">
        <f t="shared" si="1"/>
        <v>0.91811023622047239</v>
      </c>
      <c r="I18">
        <f t="shared" si="3"/>
        <v>0.42808711764285023</v>
      </c>
      <c r="K18">
        <v>1.6</v>
      </c>
      <c r="L18">
        <f t="shared" si="4"/>
        <v>0.92166855440647111</v>
      </c>
      <c r="M18">
        <f t="shared" si="5"/>
        <v>0.74582677165354339</v>
      </c>
      <c r="N18">
        <f t="shared" si="24"/>
        <v>0.81385826771653547</v>
      </c>
      <c r="O18">
        <f t="shared" si="6"/>
        <v>0.88944881889763794</v>
      </c>
      <c r="P18">
        <f t="shared" si="7"/>
        <v>0.96503937007874008</v>
      </c>
      <c r="Q18">
        <f t="shared" si="8"/>
        <v>1.0406299212598424</v>
      </c>
      <c r="R18">
        <f t="shared" si="9"/>
        <v>1.116220472440945</v>
      </c>
      <c r="S18">
        <f t="shared" si="10"/>
        <v>1.1918110236220474</v>
      </c>
      <c r="T18">
        <f t="shared" si="11"/>
        <v>1.2674015748031495</v>
      </c>
      <c r="U18">
        <f t="shared" si="25"/>
        <v>1.2925984251968505</v>
      </c>
      <c r="V18">
        <f t="shared" si="12"/>
        <v>1.3177952755905513</v>
      </c>
      <c r="W18">
        <f t="shared" si="26"/>
        <v>1.3429921259842521</v>
      </c>
      <c r="X18">
        <f t="shared" si="13"/>
        <v>1.3681889763779527</v>
      </c>
      <c r="Y18">
        <f t="shared" si="14"/>
        <v>1.3933858267716537</v>
      </c>
      <c r="Z18">
        <f t="shared" si="15"/>
        <v>1.4185826771653545</v>
      </c>
      <c r="AA18">
        <f t="shared" si="16"/>
        <v>1.4437795275590553</v>
      </c>
      <c r="AB18">
        <f t="shared" si="17"/>
        <v>1.4689763779527558</v>
      </c>
      <c r="AC18">
        <f t="shared" si="18"/>
        <v>1.4941732283464568</v>
      </c>
      <c r="AD18">
        <f t="shared" si="19"/>
        <v>1.5193700787401576</v>
      </c>
      <c r="AE18">
        <f t="shared" si="20"/>
        <v>1.5445669291338584</v>
      </c>
      <c r="AF18">
        <f t="shared" si="21"/>
        <v>1.569763779527559</v>
      </c>
      <c r="AG18">
        <f t="shared" si="22"/>
        <v>1.59496062992126</v>
      </c>
      <c r="AI18">
        <v>0.45</v>
      </c>
      <c r="AJ18">
        <f t="shared" si="23"/>
        <v>0.42189900525000734</v>
      </c>
    </row>
    <row r="19" spans="2:36" x14ac:dyDescent="0.6">
      <c r="B19">
        <v>320</v>
      </c>
      <c r="C19">
        <v>7472.36</v>
      </c>
      <c r="D19">
        <v>0.21643000000000001</v>
      </c>
      <c r="F19">
        <f t="shared" si="2"/>
        <v>593</v>
      </c>
      <c r="G19">
        <f t="shared" si="0"/>
        <v>0.2070453875488</v>
      </c>
      <c r="H19">
        <f t="shared" si="1"/>
        <v>0.93385826771653546</v>
      </c>
      <c r="I19">
        <f t="shared" si="3"/>
        <v>0.39344494816510994</v>
      </c>
      <c r="K19">
        <v>1.7</v>
      </c>
      <c r="L19">
        <f t="shared" si="4"/>
        <v>0.93540907060309886</v>
      </c>
      <c r="M19">
        <f t="shared" si="5"/>
        <v>0.79244094488188976</v>
      </c>
      <c r="N19">
        <f t="shared" si="24"/>
        <v>0.8647244094488189</v>
      </c>
      <c r="O19">
        <f t="shared" si="6"/>
        <v>0.94503937007874017</v>
      </c>
      <c r="P19">
        <f t="shared" si="7"/>
        <v>1.0253543307086612</v>
      </c>
      <c r="Q19">
        <f t="shared" si="8"/>
        <v>1.1056692913385826</v>
      </c>
      <c r="R19">
        <f t="shared" si="9"/>
        <v>1.185984251968504</v>
      </c>
      <c r="S19">
        <f t="shared" si="10"/>
        <v>1.2662992125984252</v>
      </c>
      <c r="T19">
        <f t="shared" si="11"/>
        <v>1.3466141732283463</v>
      </c>
      <c r="U19">
        <f t="shared" si="25"/>
        <v>1.3733858267716537</v>
      </c>
      <c r="V19">
        <f t="shared" si="12"/>
        <v>1.4001574803149606</v>
      </c>
      <c r="W19">
        <f t="shared" si="26"/>
        <v>1.4269291338582677</v>
      </c>
      <c r="X19">
        <f t="shared" si="13"/>
        <v>1.4537007874015746</v>
      </c>
      <c r="Y19">
        <f t="shared" si="14"/>
        <v>1.480472440944882</v>
      </c>
      <c r="Z19">
        <f t="shared" si="15"/>
        <v>1.5072440944881889</v>
      </c>
      <c r="AA19">
        <f t="shared" si="16"/>
        <v>1.534015748031496</v>
      </c>
      <c r="AB19">
        <f t="shared" si="17"/>
        <v>1.5607874015748031</v>
      </c>
      <c r="AC19">
        <f t="shared" si="18"/>
        <v>1.5875590551181102</v>
      </c>
      <c r="AD19">
        <f t="shared" si="19"/>
        <v>1.6143307086614174</v>
      </c>
      <c r="AE19">
        <f t="shared" si="20"/>
        <v>1.6411023622047243</v>
      </c>
      <c r="AF19">
        <f t="shared" si="21"/>
        <v>1.6678740157480314</v>
      </c>
      <c r="AG19">
        <f t="shared" si="22"/>
        <v>1.6946456692913385</v>
      </c>
      <c r="AI19">
        <v>0.4</v>
      </c>
      <c r="AJ19">
        <f t="shared" si="23"/>
        <v>0.37994896225522545</v>
      </c>
    </row>
    <row r="20" spans="2:36" x14ac:dyDescent="0.6">
      <c r="B20">
        <v>330</v>
      </c>
      <c r="C20">
        <v>7470.68</v>
      </c>
      <c r="D20">
        <v>0.19361</v>
      </c>
      <c r="F20">
        <f t="shared" si="2"/>
        <v>603</v>
      </c>
      <c r="G20">
        <f t="shared" si="0"/>
        <v>0.1842253875488</v>
      </c>
      <c r="H20">
        <f t="shared" si="1"/>
        <v>0.94960629921259843</v>
      </c>
      <c r="I20">
        <f t="shared" si="3"/>
        <v>0.35008047710191553</v>
      </c>
      <c r="K20">
        <v>1.8</v>
      </c>
      <c r="L20">
        <f t="shared" si="4"/>
        <v>0.94680601284626809</v>
      </c>
      <c r="M20">
        <f t="shared" si="5"/>
        <v>0.83905511811023625</v>
      </c>
      <c r="N20">
        <f t="shared" si="24"/>
        <v>0.91559055118110244</v>
      </c>
      <c r="O20">
        <f t="shared" si="6"/>
        <v>1.0006299212598426</v>
      </c>
      <c r="P20">
        <f t="shared" si="7"/>
        <v>1.0856692913385826</v>
      </c>
      <c r="Q20">
        <f t="shared" si="8"/>
        <v>1.1707086614173228</v>
      </c>
      <c r="R20">
        <f t="shared" si="9"/>
        <v>1.255748031496063</v>
      </c>
      <c r="S20">
        <f t="shared" si="10"/>
        <v>1.3407874015748031</v>
      </c>
      <c r="T20">
        <f t="shared" si="11"/>
        <v>1.4258267716535433</v>
      </c>
      <c r="U20">
        <f t="shared" si="25"/>
        <v>1.4541732283464568</v>
      </c>
      <c r="V20">
        <f t="shared" si="12"/>
        <v>1.48251968503937</v>
      </c>
      <c r="W20">
        <f t="shared" si="26"/>
        <v>1.5108661417322835</v>
      </c>
      <c r="X20">
        <f t="shared" si="13"/>
        <v>1.5392125984251968</v>
      </c>
      <c r="Y20">
        <f t="shared" si="14"/>
        <v>1.5675590551181102</v>
      </c>
      <c r="Z20">
        <f t="shared" si="15"/>
        <v>1.5959055118110237</v>
      </c>
      <c r="AA20">
        <f t="shared" si="16"/>
        <v>1.6242519685039369</v>
      </c>
      <c r="AB20">
        <f t="shared" si="17"/>
        <v>1.6525984251968504</v>
      </c>
      <c r="AC20">
        <f t="shared" si="18"/>
        <v>1.6809448818897639</v>
      </c>
      <c r="AD20">
        <f t="shared" si="19"/>
        <v>1.7092913385826771</v>
      </c>
      <c r="AE20">
        <f t="shared" si="20"/>
        <v>1.7376377952755906</v>
      </c>
      <c r="AF20">
        <f t="shared" si="21"/>
        <v>1.7659842519685038</v>
      </c>
      <c r="AG20">
        <f t="shared" si="22"/>
        <v>1.7943307086614173</v>
      </c>
      <c r="AI20">
        <v>0.3</v>
      </c>
      <c r="AJ20">
        <f t="shared" si="23"/>
        <v>0.29131261245159079</v>
      </c>
    </row>
    <row r="21" spans="2:36" x14ac:dyDescent="0.6">
      <c r="B21">
        <v>340</v>
      </c>
      <c r="C21">
        <v>7471.16</v>
      </c>
      <c r="D21">
        <v>0.1646</v>
      </c>
      <c r="F21">
        <f t="shared" si="2"/>
        <v>613</v>
      </c>
      <c r="G21">
        <f t="shared" si="0"/>
        <v>0.15521538754879999</v>
      </c>
      <c r="H21">
        <f t="shared" si="1"/>
        <v>0.96535433070866139</v>
      </c>
      <c r="I21">
        <f t="shared" si="3"/>
        <v>0.29495325074156187</v>
      </c>
      <c r="K21">
        <v>1.9</v>
      </c>
      <c r="L21">
        <f t="shared" si="4"/>
        <v>0.95623745812773886</v>
      </c>
      <c r="M21">
        <f t="shared" si="5"/>
        <v>0.88566929133858263</v>
      </c>
      <c r="N21">
        <f t="shared" si="24"/>
        <v>0.96645669291338576</v>
      </c>
      <c r="O21">
        <f t="shared" si="6"/>
        <v>1.056220472440945</v>
      </c>
      <c r="P21">
        <f t="shared" si="7"/>
        <v>1.1459842519685037</v>
      </c>
      <c r="Q21">
        <f t="shared" si="8"/>
        <v>1.2357480314960629</v>
      </c>
      <c r="R21">
        <f t="shared" si="9"/>
        <v>1.3255118110236219</v>
      </c>
      <c r="S21">
        <f t="shared" si="10"/>
        <v>1.4152755905511811</v>
      </c>
      <c r="T21">
        <f t="shared" si="11"/>
        <v>1.5050393700787399</v>
      </c>
      <c r="U21">
        <f t="shared" si="25"/>
        <v>1.5349606299212599</v>
      </c>
      <c r="V21">
        <f t="shared" si="12"/>
        <v>1.5648818897637795</v>
      </c>
      <c r="W21">
        <f t="shared" si="26"/>
        <v>1.5948031496062991</v>
      </c>
      <c r="X21">
        <f t="shared" si="13"/>
        <v>1.6247244094488187</v>
      </c>
      <c r="Y21">
        <f t="shared" si="14"/>
        <v>1.6546456692913385</v>
      </c>
      <c r="Z21">
        <f t="shared" si="15"/>
        <v>1.6845669291338581</v>
      </c>
      <c r="AA21">
        <f t="shared" si="16"/>
        <v>1.7144881889763779</v>
      </c>
      <c r="AB21">
        <f t="shared" si="17"/>
        <v>1.7444094488188975</v>
      </c>
      <c r="AC21">
        <f t="shared" si="18"/>
        <v>1.7743307086614173</v>
      </c>
      <c r="AD21">
        <f t="shared" si="19"/>
        <v>1.8042519685039369</v>
      </c>
      <c r="AE21">
        <f t="shared" si="20"/>
        <v>1.8341732283464565</v>
      </c>
      <c r="AF21">
        <f t="shared" si="21"/>
        <v>1.8640944881889763</v>
      </c>
      <c r="AG21">
        <f t="shared" si="22"/>
        <v>1.8940157480314961</v>
      </c>
      <c r="AI21">
        <v>0.25</v>
      </c>
      <c r="AJ21">
        <f t="shared" si="23"/>
        <v>0.24491866240370896</v>
      </c>
    </row>
    <row r="22" spans="2:36" x14ac:dyDescent="0.6">
      <c r="B22">
        <v>350</v>
      </c>
      <c r="C22">
        <v>7473.33</v>
      </c>
      <c r="D22">
        <v>0.12089</v>
      </c>
      <c r="F22">
        <f t="shared" si="2"/>
        <v>623</v>
      </c>
      <c r="G22">
        <f t="shared" si="0"/>
        <v>0.1115053875488</v>
      </c>
      <c r="H22">
        <f t="shared" si="1"/>
        <v>0.98110236220472435</v>
      </c>
      <c r="I22">
        <f t="shared" si="3"/>
        <v>0.21189185590491741</v>
      </c>
      <c r="K22">
        <v>2</v>
      </c>
      <c r="L22">
        <f t="shared" si="4"/>
        <v>0.96402758007581713</v>
      </c>
      <c r="M22">
        <f t="shared" si="5"/>
        <v>0.93228346456692912</v>
      </c>
      <c r="N22">
        <f t="shared" si="24"/>
        <v>1.0173228346456693</v>
      </c>
      <c r="O22">
        <f t="shared" si="6"/>
        <v>1.1118110236220473</v>
      </c>
      <c r="P22">
        <f t="shared" si="7"/>
        <v>1.2062992125984251</v>
      </c>
      <c r="Q22">
        <f t="shared" si="8"/>
        <v>1.3007874015748031</v>
      </c>
      <c r="R22">
        <f t="shared" si="9"/>
        <v>1.3952755905511811</v>
      </c>
      <c r="S22">
        <f t="shared" si="10"/>
        <v>1.4897637795275591</v>
      </c>
      <c r="T22">
        <f t="shared" si="11"/>
        <v>1.5842519685039369</v>
      </c>
      <c r="U22">
        <f t="shared" si="25"/>
        <v>1.6157480314960631</v>
      </c>
      <c r="V22">
        <f t="shared" si="12"/>
        <v>1.647244094488189</v>
      </c>
      <c r="W22">
        <f t="shared" si="26"/>
        <v>1.6787401574803149</v>
      </c>
      <c r="X22">
        <f t="shared" si="13"/>
        <v>1.7102362204724408</v>
      </c>
      <c r="Y22">
        <f t="shared" si="14"/>
        <v>1.741732283464567</v>
      </c>
      <c r="Z22">
        <f t="shared" si="15"/>
        <v>1.7732283464566929</v>
      </c>
      <c r="AA22">
        <f t="shared" si="16"/>
        <v>1.8047244094488188</v>
      </c>
      <c r="AB22">
        <f t="shared" si="17"/>
        <v>1.8362204724409448</v>
      </c>
      <c r="AC22">
        <f t="shared" si="18"/>
        <v>1.8677165354330709</v>
      </c>
      <c r="AD22">
        <f t="shared" si="19"/>
        <v>1.8992125984251969</v>
      </c>
      <c r="AE22">
        <f t="shared" si="20"/>
        <v>1.9307086614173228</v>
      </c>
      <c r="AF22">
        <f t="shared" si="21"/>
        <v>1.9622047244094487</v>
      </c>
      <c r="AG22">
        <f t="shared" si="22"/>
        <v>1.9937007874015749</v>
      </c>
      <c r="AI22">
        <v>0.2</v>
      </c>
      <c r="AJ22">
        <f t="shared" si="23"/>
        <v>0.19737532022490445</v>
      </c>
    </row>
    <row r="23" spans="2:36" x14ac:dyDescent="0.6">
      <c r="B23">
        <v>360</v>
      </c>
      <c r="C23">
        <v>7470.44</v>
      </c>
      <c r="D23">
        <v>1.7770000000000001E-2</v>
      </c>
      <c r="F23">
        <f t="shared" si="2"/>
        <v>633</v>
      </c>
      <c r="G23">
        <f t="shared" si="0"/>
        <v>8.3853875488000013E-3</v>
      </c>
      <c r="H23">
        <f t="shared" si="1"/>
        <v>0.99685039370078743</v>
      </c>
      <c r="I23">
        <f t="shared" si="3"/>
        <v>1.5934614185521837E-2</v>
      </c>
      <c r="K23">
        <v>2.1</v>
      </c>
      <c r="L23">
        <f t="shared" si="4"/>
        <v>0.9704519366134543</v>
      </c>
      <c r="M23">
        <f t="shared" si="5"/>
        <v>0.97889763779527561</v>
      </c>
      <c r="N23">
        <f>$H$4*K23</f>
        <v>1.0681889763779528</v>
      </c>
      <c r="O23">
        <f t="shared" si="6"/>
        <v>1.1674015748031497</v>
      </c>
      <c r="P23">
        <f t="shared" si="7"/>
        <v>1.2666141732283465</v>
      </c>
      <c r="Q23">
        <f t="shared" si="8"/>
        <v>1.3658267716535433</v>
      </c>
      <c r="R23">
        <f t="shared" si="9"/>
        <v>1.4650393700787403</v>
      </c>
      <c r="S23">
        <f t="shared" si="10"/>
        <v>1.5642519685039371</v>
      </c>
      <c r="T23">
        <f t="shared" si="11"/>
        <v>1.6634645669291339</v>
      </c>
      <c r="U23">
        <f t="shared" si="25"/>
        <v>1.6965354330708662</v>
      </c>
      <c r="V23">
        <f t="shared" si="12"/>
        <v>1.7296062992125985</v>
      </c>
      <c r="W23">
        <f t="shared" si="26"/>
        <v>1.7626771653543307</v>
      </c>
      <c r="X23">
        <f t="shared" si="13"/>
        <v>1.795748031496063</v>
      </c>
      <c r="Y23">
        <f t="shared" si="14"/>
        <v>1.8288188976377955</v>
      </c>
      <c r="Z23">
        <f t="shared" si="15"/>
        <v>1.8618897637795278</v>
      </c>
      <c r="AA23">
        <f t="shared" si="16"/>
        <v>1.8949606299212598</v>
      </c>
      <c r="AB23">
        <f t="shared" si="17"/>
        <v>1.9280314960629921</v>
      </c>
      <c r="AC23">
        <f t="shared" si="18"/>
        <v>1.9611023622047246</v>
      </c>
      <c r="AD23">
        <f t="shared" si="19"/>
        <v>1.9941732283464568</v>
      </c>
      <c r="AE23">
        <f t="shared" si="20"/>
        <v>2.0272440944881889</v>
      </c>
      <c r="AF23">
        <f t="shared" si="21"/>
        <v>2.0603149606299214</v>
      </c>
      <c r="AG23">
        <f t="shared" si="22"/>
        <v>2.0933858267716539</v>
      </c>
    </row>
    <row r="24" spans="2:36" x14ac:dyDescent="0.6">
      <c r="B24">
        <v>370</v>
      </c>
      <c r="C24">
        <v>7470.68</v>
      </c>
      <c r="D24">
        <v>1.5820000000000001E-2</v>
      </c>
      <c r="F24">
        <f t="shared" si="2"/>
        <v>643</v>
      </c>
      <c r="G24">
        <f t="shared" si="0"/>
        <v>6.435387548800001E-3</v>
      </c>
      <c r="H24">
        <f t="shared" si="1"/>
        <v>1.0125984251968505</v>
      </c>
      <c r="I24">
        <f t="shared" si="3"/>
        <v>1.2229061224381211E-2</v>
      </c>
      <c r="K24">
        <v>2.2000000000000002</v>
      </c>
      <c r="L24">
        <f>2*_xlfn.COTH(2*K24)-_xlfn.COTH(K24)</f>
        <v>0.97574313003145141</v>
      </c>
      <c r="M24">
        <f>$H$3*K24</f>
        <v>1.0255118110236221</v>
      </c>
      <c r="N24">
        <f>$H$4*K24</f>
        <v>1.1190551181102364</v>
      </c>
      <c r="O24">
        <f t="shared" si="6"/>
        <v>1.2229921259842522</v>
      </c>
      <c r="P24">
        <f t="shared" si="7"/>
        <v>1.3269291338582676</v>
      </c>
      <c r="Q24">
        <f t="shared" si="8"/>
        <v>1.4308661417322834</v>
      </c>
      <c r="R24">
        <f t="shared" si="9"/>
        <v>1.5348031496062993</v>
      </c>
      <c r="S24">
        <f t="shared" si="10"/>
        <v>1.6387401574803151</v>
      </c>
      <c r="T24">
        <f t="shared" si="11"/>
        <v>1.7426771653543307</v>
      </c>
      <c r="U24">
        <f t="shared" si="25"/>
        <v>1.7773228346456695</v>
      </c>
      <c r="V24">
        <f t="shared" si="12"/>
        <v>1.8119685039370079</v>
      </c>
      <c r="W24">
        <f t="shared" si="26"/>
        <v>1.8466141732283465</v>
      </c>
      <c r="X24">
        <f t="shared" si="13"/>
        <v>1.8812598425196851</v>
      </c>
      <c r="Y24">
        <f t="shared" si="14"/>
        <v>1.9159055118110238</v>
      </c>
      <c r="Z24">
        <f t="shared" si="15"/>
        <v>1.9505511811023624</v>
      </c>
      <c r="AA24">
        <f t="shared" si="16"/>
        <v>1.985196850393701</v>
      </c>
      <c r="AB24">
        <f t="shared" si="17"/>
        <v>2.0198425196850396</v>
      </c>
      <c r="AC24">
        <f t="shared" si="18"/>
        <v>2.0544881889763782</v>
      </c>
      <c r="AD24">
        <f t="shared" si="19"/>
        <v>2.0891338582677168</v>
      </c>
      <c r="AE24">
        <f t="shared" si="20"/>
        <v>2.1237795275590554</v>
      </c>
      <c r="AF24">
        <f t="shared" si="21"/>
        <v>2.1584251968503936</v>
      </c>
      <c r="AG24">
        <f t="shared" si="22"/>
        <v>2.1930708661417326</v>
      </c>
    </row>
    <row r="25" spans="2:36" x14ac:dyDescent="0.6">
      <c r="B25">
        <v>380</v>
      </c>
      <c r="C25">
        <v>7469.71</v>
      </c>
      <c r="D25">
        <v>1.5520000000000001E-2</v>
      </c>
      <c r="F25">
        <f t="shared" si="2"/>
        <v>653</v>
      </c>
      <c r="G25">
        <f t="shared" si="0"/>
        <v>6.1353875488000011E-3</v>
      </c>
      <c r="H25">
        <f t="shared" si="1"/>
        <v>1.0283464566929135</v>
      </c>
      <c r="I25">
        <f t="shared" si="3"/>
        <v>1.1658976153436499E-2</v>
      </c>
      <c r="K25">
        <v>2.2999999999999998</v>
      </c>
      <c r="L25">
        <f t="shared" si="4"/>
        <v>0.98009639626619149</v>
      </c>
      <c r="M25">
        <f t="shared" si="5"/>
        <v>1.0721259842519684</v>
      </c>
      <c r="N25">
        <f>$H$4*K25</f>
        <v>1.1699212598425197</v>
      </c>
      <c r="O25">
        <f t="shared" si="6"/>
        <v>1.2785826771653543</v>
      </c>
      <c r="P25">
        <f t="shared" si="7"/>
        <v>1.3872440944881888</v>
      </c>
      <c r="Q25">
        <f t="shared" si="8"/>
        <v>1.4959055118110234</v>
      </c>
      <c r="R25">
        <f t="shared" si="9"/>
        <v>1.6045669291338582</v>
      </c>
      <c r="S25">
        <f t="shared" si="10"/>
        <v>1.7132283464566929</v>
      </c>
      <c r="T25">
        <f t="shared" si="11"/>
        <v>1.8218897637795273</v>
      </c>
      <c r="U25">
        <f t="shared" si="25"/>
        <v>1.8581102362204724</v>
      </c>
      <c r="V25">
        <f t="shared" si="12"/>
        <v>1.8943307086614172</v>
      </c>
      <c r="W25">
        <f t="shared" si="26"/>
        <v>1.9305511811023619</v>
      </c>
      <c r="X25">
        <f t="shared" si="13"/>
        <v>1.9667716535433069</v>
      </c>
      <c r="Y25">
        <f t="shared" si="14"/>
        <v>2.0029921259842518</v>
      </c>
      <c r="Z25">
        <f t="shared" si="15"/>
        <v>2.0392125984251965</v>
      </c>
      <c r="AA25">
        <f t="shared" si="16"/>
        <v>2.0754330708661417</v>
      </c>
      <c r="AB25">
        <f t="shared" si="17"/>
        <v>2.1116535433070864</v>
      </c>
      <c r="AC25">
        <f t="shared" si="18"/>
        <v>2.1478740157480316</v>
      </c>
      <c r="AD25">
        <f t="shared" si="19"/>
        <v>2.1840944881889763</v>
      </c>
      <c r="AE25">
        <f t="shared" si="20"/>
        <v>2.2203149606299211</v>
      </c>
      <c r="AF25">
        <f t="shared" si="21"/>
        <v>2.2565354330708658</v>
      </c>
      <c r="AG25">
        <f t="shared" si="22"/>
        <v>2.292755905511811</v>
      </c>
    </row>
    <row r="26" spans="2:36" x14ac:dyDescent="0.6">
      <c r="B26">
        <v>390</v>
      </c>
      <c r="C26">
        <v>7470.2</v>
      </c>
      <c r="D26">
        <v>1.5610000000000001E-2</v>
      </c>
      <c r="F26">
        <f t="shared" si="2"/>
        <v>663</v>
      </c>
      <c r="G26">
        <f t="shared" si="0"/>
        <v>6.2253875488000009E-3</v>
      </c>
      <c r="H26">
        <f t="shared" si="1"/>
        <v>1.0440944881889764</v>
      </c>
      <c r="I26">
        <f t="shared" si="3"/>
        <v>1.1830001674719912E-2</v>
      </c>
      <c r="K26">
        <v>2.4</v>
      </c>
      <c r="L26">
        <f t="shared" si="4"/>
        <v>0.98367485769367979</v>
      </c>
      <c r="M26">
        <f t="shared" si="5"/>
        <v>1.1187401574803149</v>
      </c>
      <c r="N26">
        <f t="shared" ref="N26:N42" si="27">$H$4*K26</f>
        <v>1.220787401574803</v>
      </c>
      <c r="O26">
        <f t="shared" si="6"/>
        <v>1.3341732283464567</v>
      </c>
      <c r="P26">
        <f t="shared" si="7"/>
        <v>1.4475590551181101</v>
      </c>
      <c r="Q26">
        <f t="shared" si="8"/>
        <v>1.5609448818897638</v>
      </c>
      <c r="R26">
        <f t="shared" si="9"/>
        <v>1.6743307086614172</v>
      </c>
      <c r="S26">
        <f t="shared" si="10"/>
        <v>1.7877165354330709</v>
      </c>
      <c r="T26">
        <f t="shared" si="11"/>
        <v>1.9011023622047243</v>
      </c>
      <c r="U26">
        <f t="shared" si="25"/>
        <v>1.9388976377952756</v>
      </c>
      <c r="V26">
        <f t="shared" si="12"/>
        <v>1.9766929133858266</v>
      </c>
      <c r="W26">
        <f t="shared" si="26"/>
        <v>2.0144881889763777</v>
      </c>
      <c r="X26">
        <f t="shared" si="13"/>
        <v>2.052283464566929</v>
      </c>
      <c r="Y26">
        <f t="shared" si="14"/>
        <v>2.0900787401574803</v>
      </c>
      <c r="Z26">
        <f t="shared" si="15"/>
        <v>2.1278740157480316</v>
      </c>
      <c r="AA26">
        <f t="shared" si="16"/>
        <v>2.1656692913385824</v>
      </c>
      <c r="AB26">
        <f t="shared" si="17"/>
        <v>2.2034645669291337</v>
      </c>
      <c r="AC26">
        <f t="shared" si="18"/>
        <v>2.241259842519685</v>
      </c>
      <c r="AD26">
        <f t="shared" si="19"/>
        <v>2.2790551181102363</v>
      </c>
      <c r="AE26">
        <f t="shared" si="20"/>
        <v>2.3168503937007872</v>
      </c>
      <c r="AF26">
        <f t="shared" si="21"/>
        <v>2.3546456692913385</v>
      </c>
      <c r="AG26">
        <f t="shared" si="22"/>
        <v>2.3924409448818897</v>
      </c>
    </row>
    <row r="27" spans="2:36" x14ac:dyDescent="0.6">
      <c r="B27">
        <v>400</v>
      </c>
      <c r="C27">
        <v>7470.2</v>
      </c>
      <c r="D27">
        <v>1.6619999999999999E-2</v>
      </c>
      <c r="F27">
        <f t="shared" si="2"/>
        <v>673</v>
      </c>
      <c r="G27">
        <f t="shared" si="0"/>
        <v>7.2353875487999996E-3</v>
      </c>
      <c r="H27">
        <f t="shared" si="1"/>
        <v>1.0598425196850394</v>
      </c>
      <c r="I27">
        <f t="shared" si="3"/>
        <v>1.3749288080233773E-2</v>
      </c>
      <c r="K27">
        <v>2.5</v>
      </c>
      <c r="L27">
        <f t="shared" si="4"/>
        <v>0.98661429815143076</v>
      </c>
      <c r="M27">
        <f t="shared" si="5"/>
        <v>1.1653543307086613</v>
      </c>
      <c r="N27">
        <f t="shared" si="27"/>
        <v>1.2716535433070866</v>
      </c>
      <c r="O27">
        <f t="shared" si="6"/>
        <v>1.3897637795275593</v>
      </c>
      <c r="P27">
        <f t="shared" si="7"/>
        <v>1.5078740157480315</v>
      </c>
      <c r="Q27">
        <f t="shared" si="8"/>
        <v>1.6259842519685039</v>
      </c>
      <c r="R27">
        <f t="shared" si="9"/>
        <v>1.7440944881889764</v>
      </c>
      <c r="S27">
        <f t="shared" si="10"/>
        <v>1.8622047244094488</v>
      </c>
      <c r="T27">
        <f t="shared" si="11"/>
        <v>1.9803149606299211</v>
      </c>
      <c r="U27">
        <f t="shared" si="25"/>
        <v>2.0196850393700787</v>
      </c>
      <c r="V27">
        <f t="shared" si="12"/>
        <v>2.0590551181102361</v>
      </c>
      <c r="W27">
        <f t="shared" si="26"/>
        <v>2.0984251968503935</v>
      </c>
      <c r="X27">
        <f t="shared" si="13"/>
        <v>2.1377952755905509</v>
      </c>
      <c r="Y27">
        <f t="shared" si="14"/>
        <v>2.1771653543307088</v>
      </c>
      <c r="Z27">
        <f t="shared" si="15"/>
        <v>2.2165354330708662</v>
      </c>
      <c r="AA27">
        <f t="shared" si="16"/>
        <v>2.2559055118110236</v>
      </c>
      <c r="AB27">
        <f t="shared" si="17"/>
        <v>2.295275590551181</v>
      </c>
      <c r="AC27">
        <f t="shared" si="18"/>
        <v>2.3346456692913389</v>
      </c>
      <c r="AD27">
        <f t="shared" si="19"/>
        <v>2.3740157480314963</v>
      </c>
      <c r="AE27">
        <f t="shared" si="20"/>
        <v>2.4133858267716537</v>
      </c>
      <c r="AF27">
        <f t="shared" si="21"/>
        <v>2.4527559055118111</v>
      </c>
      <c r="AG27">
        <f t="shared" si="22"/>
        <v>2.4921259842519685</v>
      </c>
    </row>
    <row r="28" spans="2:36" x14ac:dyDescent="0.6">
      <c r="C28">
        <f>(C3+C4+C5+C6+C7+C8+C9+C10+C11+C12+C13+C14+C15+C16+C17+C18+C19+C20+C21+C22+C23+C24+C25+C26+C27)/25</f>
        <v>7471.8252000000002</v>
      </c>
      <c r="K28">
        <v>2.6</v>
      </c>
      <c r="L28">
        <f t="shared" si="4"/>
        <v>0.98902740220109941</v>
      </c>
      <c r="M28">
        <f t="shared" si="5"/>
        <v>1.2119685039370078</v>
      </c>
      <c r="N28">
        <f t="shared" si="27"/>
        <v>1.3225196850393701</v>
      </c>
      <c r="O28">
        <f t="shared" si="6"/>
        <v>1.4453543307086616</v>
      </c>
      <c r="P28">
        <f t="shared" si="7"/>
        <v>1.5681889763779526</v>
      </c>
      <c r="Q28">
        <f t="shared" si="8"/>
        <v>1.6910236220472441</v>
      </c>
      <c r="R28">
        <f t="shared" si="9"/>
        <v>1.8138582677165356</v>
      </c>
      <c r="S28">
        <f t="shared" si="10"/>
        <v>1.9366929133858268</v>
      </c>
      <c r="T28">
        <f t="shared" si="11"/>
        <v>2.0595275590551179</v>
      </c>
      <c r="U28">
        <f t="shared" si="25"/>
        <v>2.1004724409448818</v>
      </c>
      <c r="V28">
        <f t="shared" si="12"/>
        <v>2.1414173228346458</v>
      </c>
      <c r="W28">
        <f t="shared" si="26"/>
        <v>2.1823622047244093</v>
      </c>
      <c r="X28">
        <f t="shared" si="13"/>
        <v>2.2233070866141733</v>
      </c>
      <c r="Y28">
        <f t="shared" si="14"/>
        <v>2.2642519685039373</v>
      </c>
      <c r="Z28">
        <f t="shared" si="15"/>
        <v>2.3051968503937008</v>
      </c>
      <c r="AA28">
        <f t="shared" si="16"/>
        <v>2.3461417322834648</v>
      </c>
      <c r="AB28">
        <f t="shared" si="17"/>
        <v>2.3870866141732283</v>
      </c>
      <c r="AC28">
        <f t="shared" si="18"/>
        <v>2.4280314960629923</v>
      </c>
      <c r="AD28">
        <f t="shared" si="19"/>
        <v>2.4689763779527558</v>
      </c>
      <c r="AE28">
        <f t="shared" si="20"/>
        <v>2.5099212598425198</v>
      </c>
      <c r="AF28">
        <f t="shared" si="21"/>
        <v>2.5508661417322833</v>
      </c>
      <c r="AG28">
        <f t="shared" si="22"/>
        <v>2.5918110236220473</v>
      </c>
    </row>
    <row r="29" spans="2:36" x14ac:dyDescent="0.6">
      <c r="H29" t="s">
        <v>8</v>
      </c>
      <c r="I29" t="s">
        <v>9</v>
      </c>
      <c r="K29">
        <v>2.7</v>
      </c>
      <c r="L29">
        <f t="shared" si="4"/>
        <v>0.99100745367811749</v>
      </c>
      <c r="M29">
        <f t="shared" si="5"/>
        <v>1.2585826771653543</v>
      </c>
      <c r="N29">
        <f t="shared" si="27"/>
        <v>1.3733858267716537</v>
      </c>
      <c r="O29">
        <f t="shared" si="6"/>
        <v>1.5009448818897639</v>
      </c>
      <c r="P29">
        <f t="shared" si="7"/>
        <v>1.628503937007874</v>
      </c>
      <c r="Q29">
        <f t="shared" si="8"/>
        <v>1.7560629921259843</v>
      </c>
      <c r="R29">
        <f t="shared" si="9"/>
        <v>1.8836220472440945</v>
      </c>
      <c r="S29">
        <f t="shared" si="10"/>
        <v>2.011181102362205</v>
      </c>
      <c r="T29">
        <f t="shared" si="11"/>
        <v>2.1387401574803149</v>
      </c>
      <c r="U29">
        <f t="shared" si="25"/>
        <v>2.1812598425196854</v>
      </c>
      <c r="V29">
        <f t="shared" si="12"/>
        <v>2.2237795275590551</v>
      </c>
      <c r="W29">
        <f t="shared" si="26"/>
        <v>2.2662992125984252</v>
      </c>
      <c r="X29">
        <f t="shared" si="13"/>
        <v>2.3088188976377952</v>
      </c>
      <c r="Y29">
        <f t="shared" si="14"/>
        <v>2.3513385826771658</v>
      </c>
      <c r="Z29">
        <f t="shared" si="15"/>
        <v>2.3938582677165354</v>
      </c>
      <c r="AA29">
        <f t="shared" si="16"/>
        <v>2.4363779527559055</v>
      </c>
      <c r="AB29">
        <f t="shared" si="17"/>
        <v>2.4788976377952756</v>
      </c>
      <c r="AC29">
        <f t="shared" si="18"/>
        <v>2.5214173228346457</v>
      </c>
      <c r="AD29">
        <f t="shared" si="19"/>
        <v>2.5639370078740158</v>
      </c>
      <c r="AE29">
        <f t="shared" si="20"/>
        <v>2.6064566929133859</v>
      </c>
      <c r="AF29">
        <f t="shared" si="21"/>
        <v>2.648976377952756</v>
      </c>
      <c r="AG29">
        <f t="shared" si="22"/>
        <v>2.6914960629921261</v>
      </c>
    </row>
    <row r="30" spans="2:36" x14ac:dyDescent="0.6">
      <c r="H30">
        <f>G3/0.95</f>
        <v>0.52623725005136845</v>
      </c>
      <c r="I30">
        <v>635</v>
      </c>
      <c r="K30">
        <v>2.8</v>
      </c>
      <c r="L30">
        <f t="shared" si="4"/>
        <v>0.99263152020112755</v>
      </c>
      <c r="M30">
        <f t="shared" si="5"/>
        <v>1.3051968503937006</v>
      </c>
      <c r="N30">
        <f t="shared" si="27"/>
        <v>1.424251968503937</v>
      </c>
      <c r="O30">
        <f t="shared" si="6"/>
        <v>1.5565354330708661</v>
      </c>
      <c r="P30">
        <f t="shared" si="7"/>
        <v>1.6888188976377951</v>
      </c>
      <c r="Q30">
        <f t="shared" si="8"/>
        <v>1.8211023622047242</v>
      </c>
      <c r="R30">
        <f t="shared" si="9"/>
        <v>1.9533858267716535</v>
      </c>
      <c r="S30">
        <f t="shared" si="10"/>
        <v>2.0856692913385828</v>
      </c>
      <c r="T30">
        <f t="shared" si="11"/>
        <v>2.2179527559055114</v>
      </c>
      <c r="U30">
        <f t="shared" si="25"/>
        <v>2.2620472440944881</v>
      </c>
      <c r="V30">
        <f t="shared" si="12"/>
        <v>2.3061417322834643</v>
      </c>
      <c r="W30">
        <f t="shared" si="26"/>
        <v>2.3502362204724405</v>
      </c>
      <c r="X30">
        <f t="shared" si="13"/>
        <v>2.3943307086614172</v>
      </c>
      <c r="Y30">
        <f t="shared" si="14"/>
        <v>2.4384251968503938</v>
      </c>
      <c r="Z30">
        <f t="shared" si="15"/>
        <v>2.48251968503937</v>
      </c>
      <c r="AA30">
        <f t="shared" si="16"/>
        <v>2.5266141732283462</v>
      </c>
      <c r="AB30">
        <f t="shared" si="17"/>
        <v>2.5707086614173225</v>
      </c>
      <c r="AC30">
        <f t="shared" si="18"/>
        <v>2.6148031496062991</v>
      </c>
      <c r="AD30">
        <f t="shared" si="19"/>
        <v>2.6588976377952753</v>
      </c>
      <c r="AE30">
        <f t="shared" si="20"/>
        <v>2.7029921259842515</v>
      </c>
      <c r="AF30">
        <f t="shared" si="21"/>
        <v>2.7470866141732282</v>
      </c>
      <c r="AG30">
        <f t="shared" si="22"/>
        <v>2.7911811023622048</v>
      </c>
    </row>
    <row r="31" spans="2:36" x14ac:dyDescent="0.6">
      <c r="K31">
        <v>2.9</v>
      </c>
      <c r="L31">
        <f t="shared" si="4"/>
        <v>0.99396316735058288</v>
      </c>
      <c r="M31">
        <f t="shared" si="5"/>
        <v>1.3518110236220471</v>
      </c>
      <c r="N31">
        <f t="shared" si="27"/>
        <v>1.4751181102362205</v>
      </c>
      <c r="O31">
        <f t="shared" si="6"/>
        <v>1.6121259842519686</v>
      </c>
      <c r="P31">
        <f t="shared" si="7"/>
        <v>1.7491338582677163</v>
      </c>
      <c r="Q31">
        <f t="shared" si="8"/>
        <v>1.8861417322834644</v>
      </c>
      <c r="R31">
        <f t="shared" si="9"/>
        <v>2.0231496062992127</v>
      </c>
      <c r="S31">
        <f t="shared" si="10"/>
        <v>2.1601574803149606</v>
      </c>
      <c r="T31">
        <f t="shared" si="11"/>
        <v>2.2971653543307085</v>
      </c>
      <c r="U31">
        <f t="shared" si="25"/>
        <v>2.3428346456692912</v>
      </c>
      <c r="V31">
        <f t="shared" si="12"/>
        <v>2.388503937007874</v>
      </c>
      <c r="W31">
        <f t="shared" si="26"/>
        <v>2.4341732283464563</v>
      </c>
      <c r="X31">
        <f t="shared" si="13"/>
        <v>2.4798425196850391</v>
      </c>
      <c r="Y31">
        <f t="shared" si="14"/>
        <v>2.5255118110236219</v>
      </c>
      <c r="Z31">
        <f t="shared" si="15"/>
        <v>2.5711811023622047</v>
      </c>
      <c r="AA31">
        <f t="shared" si="16"/>
        <v>2.6168503937007874</v>
      </c>
      <c r="AB31">
        <f t="shared" si="17"/>
        <v>2.6625196850393698</v>
      </c>
      <c r="AC31">
        <f t="shared" si="18"/>
        <v>2.708188976377953</v>
      </c>
      <c r="AD31">
        <f t="shared" si="19"/>
        <v>2.7538582677165353</v>
      </c>
      <c r="AE31">
        <f t="shared" si="20"/>
        <v>2.7995275590551181</v>
      </c>
      <c r="AF31">
        <f t="shared" si="21"/>
        <v>2.8451968503937004</v>
      </c>
      <c r="AG31">
        <f t="shared" si="22"/>
        <v>2.8908661417322836</v>
      </c>
    </row>
    <row r="32" spans="2:36" x14ac:dyDescent="0.6">
      <c r="K32">
        <v>3</v>
      </c>
      <c r="L32">
        <f t="shared" si="4"/>
        <v>0.99505475368673069</v>
      </c>
      <c r="M32">
        <f t="shared" si="5"/>
        <v>1.3984251968503938</v>
      </c>
      <c r="N32">
        <f t="shared" si="27"/>
        <v>1.5259842519685041</v>
      </c>
      <c r="O32">
        <f t="shared" si="6"/>
        <v>1.667716535433071</v>
      </c>
      <c r="P32">
        <f t="shared" si="7"/>
        <v>1.8094488188976376</v>
      </c>
      <c r="Q32">
        <f t="shared" si="8"/>
        <v>1.9511811023622045</v>
      </c>
      <c r="R32">
        <f t="shared" si="9"/>
        <v>2.0929133858267717</v>
      </c>
      <c r="S32">
        <f t="shared" si="10"/>
        <v>2.2346456692913388</v>
      </c>
      <c r="T32">
        <f t="shared" si="11"/>
        <v>2.3763779527559055</v>
      </c>
      <c r="U32">
        <f t="shared" si="25"/>
        <v>2.4236220472440948</v>
      </c>
      <c r="V32">
        <f t="shared" si="12"/>
        <v>2.4708661417322837</v>
      </c>
      <c r="W32">
        <f t="shared" si="26"/>
        <v>2.5181102362204726</v>
      </c>
      <c r="X32">
        <f t="shared" si="13"/>
        <v>2.5653543307086615</v>
      </c>
      <c r="Y32">
        <f t="shared" si="14"/>
        <v>2.6125984251968504</v>
      </c>
      <c r="Z32">
        <f t="shared" si="15"/>
        <v>2.6598425196850393</v>
      </c>
      <c r="AA32">
        <f t="shared" si="16"/>
        <v>2.7070866141732282</v>
      </c>
      <c r="AB32">
        <f t="shared" si="17"/>
        <v>2.754330708661417</v>
      </c>
      <c r="AC32">
        <f t="shared" si="18"/>
        <v>2.8015748031496064</v>
      </c>
      <c r="AD32">
        <f t="shared" si="19"/>
        <v>2.8488188976377953</v>
      </c>
      <c r="AE32">
        <f t="shared" si="20"/>
        <v>2.8960629921259842</v>
      </c>
      <c r="AF32">
        <f t="shared" si="21"/>
        <v>2.9433070866141731</v>
      </c>
      <c r="AG32">
        <f t="shared" si="22"/>
        <v>2.9905511811023624</v>
      </c>
    </row>
    <row r="33" spans="11:33" x14ac:dyDescent="0.6">
      <c r="K33">
        <v>3.1</v>
      </c>
      <c r="L33">
        <f t="shared" si="4"/>
        <v>0.99594935922190042</v>
      </c>
      <c r="M33">
        <f t="shared" si="5"/>
        <v>1.4450393700787403</v>
      </c>
      <c r="N33">
        <f t="shared" si="27"/>
        <v>1.5768503937007874</v>
      </c>
      <c r="O33">
        <f t="shared" si="6"/>
        <v>1.7233070866141733</v>
      </c>
      <c r="P33">
        <f t="shared" si="7"/>
        <v>1.869763779527559</v>
      </c>
      <c r="Q33">
        <f t="shared" si="8"/>
        <v>2.0162204724409447</v>
      </c>
      <c r="R33">
        <f t="shared" si="9"/>
        <v>2.1626771653543306</v>
      </c>
      <c r="S33">
        <f t="shared" si="10"/>
        <v>2.3091338582677166</v>
      </c>
      <c r="T33">
        <f t="shared" si="11"/>
        <v>2.4555905511811025</v>
      </c>
      <c r="U33">
        <f t="shared" si="25"/>
        <v>2.5044094488188979</v>
      </c>
      <c r="V33">
        <f t="shared" si="12"/>
        <v>2.5532283464566929</v>
      </c>
      <c r="W33">
        <f t="shared" si="26"/>
        <v>2.6020472440944884</v>
      </c>
      <c r="X33">
        <f t="shared" si="13"/>
        <v>2.6508661417322834</v>
      </c>
      <c r="Y33">
        <f t="shared" si="14"/>
        <v>2.6996850393700789</v>
      </c>
      <c r="Z33">
        <f t="shared" si="15"/>
        <v>2.7485039370078743</v>
      </c>
      <c r="AA33">
        <f t="shared" si="16"/>
        <v>2.7973228346456693</v>
      </c>
      <c r="AB33">
        <f t="shared" si="17"/>
        <v>2.8461417322834643</v>
      </c>
      <c r="AC33">
        <f t="shared" si="18"/>
        <v>2.8949606299212598</v>
      </c>
      <c r="AD33">
        <f t="shared" si="19"/>
        <v>2.9437795275590553</v>
      </c>
      <c r="AE33">
        <f t="shared" si="20"/>
        <v>2.9925984251968503</v>
      </c>
      <c r="AF33">
        <f t="shared" si="21"/>
        <v>3.0414173228346457</v>
      </c>
      <c r="AG33">
        <f t="shared" si="22"/>
        <v>3.0902362204724412</v>
      </c>
    </row>
    <row r="34" spans="11:33" x14ac:dyDescent="0.6">
      <c r="K34">
        <v>3.2</v>
      </c>
      <c r="L34">
        <f>2*_xlfn.COTH(2*K34)-_xlfn.COTH(K34)</f>
        <v>0.99668239783965151</v>
      </c>
      <c r="M34">
        <f t="shared" si="5"/>
        <v>1.4916535433070868</v>
      </c>
      <c r="N34">
        <f t="shared" si="27"/>
        <v>1.6277165354330709</v>
      </c>
      <c r="O34">
        <f t="shared" si="6"/>
        <v>1.7788976377952759</v>
      </c>
      <c r="P34">
        <f t="shared" si="7"/>
        <v>1.9300787401574802</v>
      </c>
      <c r="Q34">
        <f t="shared" si="8"/>
        <v>2.0812598425196849</v>
      </c>
      <c r="R34">
        <f t="shared" si="9"/>
        <v>2.23244094488189</v>
      </c>
      <c r="S34">
        <f t="shared" si="10"/>
        <v>2.3836220472440948</v>
      </c>
      <c r="T34">
        <f t="shared" si="11"/>
        <v>2.534803149606299</v>
      </c>
      <c r="U34">
        <f t="shared" si="25"/>
        <v>2.5851968503937011</v>
      </c>
      <c r="V34">
        <f t="shared" si="12"/>
        <v>2.6355905511811026</v>
      </c>
      <c r="W34">
        <f t="shared" si="26"/>
        <v>2.6859842519685042</v>
      </c>
      <c r="X34">
        <f t="shared" si="13"/>
        <v>2.7363779527559053</v>
      </c>
      <c r="Y34">
        <f t="shared" si="14"/>
        <v>2.7867716535433074</v>
      </c>
      <c r="Z34">
        <f t="shared" si="15"/>
        <v>2.8371653543307089</v>
      </c>
      <c r="AA34">
        <f t="shared" si="16"/>
        <v>2.8875590551181105</v>
      </c>
      <c r="AB34">
        <f t="shared" si="17"/>
        <v>2.9379527559055116</v>
      </c>
      <c r="AC34">
        <f t="shared" si="18"/>
        <v>2.9883464566929137</v>
      </c>
      <c r="AD34">
        <f t="shared" si="19"/>
        <v>3.0387401574803152</v>
      </c>
      <c r="AE34">
        <f t="shared" si="20"/>
        <v>3.0891338582677168</v>
      </c>
      <c r="AF34">
        <f t="shared" si="21"/>
        <v>3.1395275590551179</v>
      </c>
      <c r="AG34">
        <f t="shared" si="22"/>
        <v>3.18992125984252</v>
      </c>
    </row>
    <row r="35" spans="11:33" x14ac:dyDescent="0.6">
      <c r="K35">
        <v>3.3</v>
      </c>
      <c r="L35">
        <f t="shared" si="4"/>
        <v>0.99728296009914219</v>
      </c>
      <c r="M35">
        <f t="shared" si="5"/>
        <v>1.538267716535433</v>
      </c>
      <c r="N35">
        <f t="shared" si="27"/>
        <v>1.6785826771653543</v>
      </c>
      <c r="O35">
        <f t="shared" si="6"/>
        <v>1.834488188976378</v>
      </c>
      <c r="P35">
        <f t="shared" si="7"/>
        <v>1.9903937007874013</v>
      </c>
      <c r="Q35">
        <f t="shared" si="8"/>
        <v>2.146299212598425</v>
      </c>
      <c r="R35">
        <f t="shared" si="9"/>
        <v>2.3022047244094486</v>
      </c>
      <c r="S35">
        <f t="shared" si="10"/>
        <v>2.4581102362204725</v>
      </c>
      <c r="T35">
        <f t="shared" si="11"/>
        <v>2.6140157480314956</v>
      </c>
      <c r="U35">
        <f t="shared" si="25"/>
        <v>2.6659842519685037</v>
      </c>
      <c r="V35">
        <f t="shared" si="12"/>
        <v>2.7179527559055119</v>
      </c>
      <c r="W35">
        <f t="shared" si="26"/>
        <v>2.7699212598425196</v>
      </c>
      <c r="X35">
        <f t="shared" si="13"/>
        <v>2.8218897637795273</v>
      </c>
      <c r="Y35">
        <f t="shared" si="14"/>
        <v>2.8738582677165354</v>
      </c>
      <c r="Z35">
        <f t="shared" si="15"/>
        <v>2.9258267716535431</v>
      </c>
      <c r="AA35">
        <f t="shared" si="16"/>
        <v>2.9777952755905508</v>
      </c>
      <c r="AB35">
        <f t="shared" si="17"/>
        <v>3.0297637795275589</v>
      </c>
      <c r="AC35">
        <f t="shared" si="18"/>
        <v>3.0817322834645671</v>
      </c>
      <c r="AD35">
        <f t="shared" si="19"/>
        <v>3.1337007874015748</v>
      </c>
      <c r="AE35">
        <f t="shared" si="20"/>
        <v>3.1856692913385825</v>
      </c>
      <c r="AF35">
        <f t="shared" si="21"/>
        <v>3.2376377952755901</v>
      </c>
      <c r="AG35">
        <f t="shared" si="22"/>
        <v>3.2896062992125983</v>
      </c>
    </row>
    <row r="36" spans="11:33" x14ac:dyDescent="0.6">
      <c r="K36">
        <v>3.4</v>
      </c>
      <c r="L36">
        <f t="shared" si="4"/>
        <v>0.99777492793427935</v>
      </c>
      <c r="M36">
        <f t="shared" si="5"/>
        <v>1.5848818897637795</v>
      </c>
      <c r="N36">
        <f t="shared" si="27"/>
        <v>1.7294488188976378</v>
      </c>
      <c r="O36">
        <f t="shared" si="6"/>
        <v>1.8900787401574803</v>
      </c>
      <c r="P36">
        <f t="shared" si="7"/>
        <v>2.0507086614173224</v>
      </c>
      <c r="Q36">
        <f t="shared" si="8"/>
        <v>2.2113385826771652</v>
      </c>
      <c r="R36">
        <f t="shared" si="9"/>
        <v>2.371968503937008</v>
      </c>
      <c r="S36">
        <f t="shared" si="10"/>
        <v>2.5325984251968503</v>
      </c>
      <c r="T36">
        <f t="shared" si="11"/>
        <v>2.6932283464566926</v>
      </c>
      <c r="U36">
        <f t="shared" si="25"/>
        <v>2.7467716535433073</v>
      </c>
      <c r="V36">
        <f t="shared" si="12"/>
        <v>2.8003149606299211</v>
      </c>
      <c r="W36">
        <f t="shared" si="26"/>
        <v>2.8538582677165354</v>
      </c>
      <c r="X36">
        <f t="shared" si="13"/>
        <v>2.9074015748031492</v>
      </c>
      <c r="Y36">
        <f t="shared" si="14"/>
        <v>2.9609448818897639</v>
      </c>
      <c r="Z36">
        <f t="shared" si="15"/>
        <v>3.0144881889763777</v>
      </c>
      <c r="AA36">
        <f t="shared" si="16"/>
        <v>3.068031496062992</v>
      </c>
      <c r="AB36">
        <f t="shared" si="17"/>
        <v>3.1215748031496062</v>
      </c>
      <c r="AC36">
        <f t="shared" si="18"/>
        <v>3.1751181102362205</v>
      </c>
      <c r="AD36">
        <f t="shared" si="19"/>
        <v>3.2286614173228347</v>
      </c>
      <c r="AE36">
        <f t="shared" si="20"/>
        <v>3.2822047244094485</v>
      </c>
      <c r="AF36">
        <f t="shared" si="21"/>
        <v>3.3357480314960628</v>
      </c>
      <c r="AG36">
        <f t="shared" si="22"/>
        <v>3.3892913385826771</v>
      </c>
    </row>
    <row r="37" spans="11:33" x14ac:dyDescent="0.6">
      <c r="K37">
        <v>3.5</v>
      </c>
      <c r="L37">
        <f t="shared" si="4"/>
        <v>0.99817789761119879</v>
      </c>
      <c r="M37">
        <f t="shared" si="5"/>
        <v>1.631496062992126</v>
      </c>
      <c r="N37">
        <f t="shared" si="27"/>
        <v>1.7803149606299213</v>
      </c>
      <c r="O37">
        <f t="shared" si="6"/>
        <v>1.9456692913385827</v>
      </c>
      <c r="P37">
        <f t="shared" si="7"/>
        <v>2.1110236220472438</v>
      </c>
      <c r="Q37">
        <f t="shared" si="8"/>
        <v>2.2763779527559054</v>
      </c>
      <c r="R37">
        <f t="shared" si="9"/>
        <v>2.4417322834645669</v>
      </c>
      <c r="S37">
        <f t="shared" si="10"/>
        <v>2.6070866141732285</v>
      </c>
      <c r="T37">
        <f t="shared" si="11"/>
        <v>2.7724409448818896</v>
      </c>
      <c r="U37">
        <f t="shared" si="25"/>
        <v>2.8275590551181105</v>
      </c>
      <c r="V37">
        <f t="shared" si="12"/>
        <v>2.8826771653543308</v>
      </c>
      <c r="W37">
        <f t="shared" si="26"/>
        <v>2.9377952755905512</v>
      </c>
      <c r="X37">
        <f t="shared" si="13"/>
        <v>2.9929133858267716</v>
      </c>
      <c r="Y37">
        <f t="shared" si="14"/>
        <v>3.0480314960629924</v>
      </c>
      <c r="Z37">
        <f t="shared" si="15"/>
        <v>3.1031496062992128</v>
      </c>
      <c r="AA37">
        <f t="shared" si="16"/>
        <v>3.1582677165354331</v>
      </c>
      <c r="AB37">
        <f t="shared" si="17"/>
        <v>3.2133858267716535</v>
      </c>
      <c r="AC37">
        <f t="shared" si="18"/>
        <v>3.2685039370078739</v>
      </c>
      <c r="AD37">
        <f t="shared" si="19"/>
        <v>3.3236220472440943</v>
      </c>
      <c r="AE37">
        <f t="shared" si="20"/>
        <v>3.3787401574803146</v>
      </c>
      <c r="AF37">
        <f t="shared" si="21"/>
        <v>3.433858267716535</v>
      </c>
      <c r="AG37">
        <f t="shared" si="22"/>
        <v>3.4889763779527558</v>
      </c>
    </row>
    <row r="38" spans="11:33" x14ac:dyDescent="0.6">
      <c r="K38">
        <v>3.6</v>
      </c>
      <c r="L38">
        <f t="shared" si="4"/>
        <v>0.99850794233232665</v>
      </c>
      <c r="M38">
        <f t="shared" si="5"/>
        <v>1.6781102362204725</v>
      </c>
      <c r="N38">
        <f t="shared" si="27"/>
        <v>1.8311811023622049</v>
      </c>
      <c r="O38">
        <f t="shared" si="6"/>
        <v>2.0012598425196853</v>
      </c>
      <c r="P38">
        <f t="shared" si="7"/>
        <v>2.1713385826771652</v>
      </c>
      <c r="Q38">
        <f t="shared" si="8"/>
        <v>2.3414173228346455</v>
      </c>
      <c r="R38">
        <f t="shared" si="9"/>
        <v>2.5114960629921259</v>
      </c>
      <c r="S38">
        <f t="shared" si="10"/>
        <v>2.6815748031496063</v>
      </c>
      <c r="T38">
        <f t="shared" si="11"/>
        <v>2.8516535433070866</v>
      </c>
      <c r="U38">
        <f t="shared" si="25"/>
        <v>2.9083464566929136</v>
      </c>
      <c r="V38">
        <f t="shared" si="12"/>
        <v>2.9650393700787401</v>
      </c>
      <c r="W38">
        <f t="shared" si="26"/>
        <v>3.021732283464567</v>
      </c>
      <c r="X38">
        <f t="shared" si="13"/>
        <v>3.0784251968503935</v>
      </c>
      <c r="Y38">
        <f t="shared" si="14"/>
        <v>3.1351181102362204</v>
      </c>
      <c r="Z38">
        <f t="shared" si="15"/>
        <v>3.1918110236220474</v>
      </c>
      <c r="AA38">
        <f t="shared" si="16"/>
        <v>3.2485039370078739</v>
      </c>
      <c r="AB38">
        <f t="shared" si="17"/>
        <v>3.3051968503937008</v>
      </c>
      <c r="AC38">
        <f t="shared" si="18"/>
        <v>3.3618897637795278</v>
      </c>
      <c r="AD38">
        <f t="shared" si="19"/>
        <v>3.4185826771653542</v>
      </c>
      <c r="AE38">
        <f t="shared" si="20"/>
        <v>3.4752755905511812</v>
      </c>
      <c r="AF38">
        <f t="shared" si="21"/>
        <v>3.5319685039370077</v>
      </c>
      <c r="AG38">
        <f t="shared" si="22"/>
        <v>3.5886614173228346</v>
      </c>
    </row>
    <row r="39" spans="11:33" x14ac:dyDescent="0.6">
      <c r="K39">
        <v>3.7</v>
      </c>
      <c r="L39">
        <f t="shared" si="4"/>
        <v>0.99877824128113102</v>
      </c>
      <c r="M39">
        <f t="shared" si="5"/>
        <v>1.724724409448819</v>
      </c>
      <c r="N39">
        <f t="shared" si="27"/>
        <v>1.8820472440944882</v>
      </c>
      <c r="O39">
        <f t="shared" si="6"/>
        <v>2.0568503937007878</v>
      </c>
      <c r="P39">
        <f t="shared" si="7"/>
        <v>2.2316535433070865</v>
      </c>
      <c r="Q39">
        <f t="shared" si="8"/>
        <v>2.4064566929133857</v>
      </c>
      <c r="R39">
        <f t="shared" si="9"/>
        <v>2.5812598425196853</v>
      </c>
      <c r="S39">
        <f t="shared" si="10"/>
        <v>2.7560629921259845</v>
      </c>
      <c r="T39">
        <f t="shared" si="11"/>
        <v>2.9308661417322832</v>
      </c>
      <c r="U39">
        <f t="shared" si="25"/>
        <v>2.9891338582677167</v>
      </c>
      <c r="V39">
        <f t="shared" si="12"/>
        <v>3.0474015748031498</v>
      </c>
      <c r="W39">
        <f t="shared" si="26"/>
        <v>3.1056692913385828</v>
      </c>
      <c r="X39">
        <f t="shared" si="13"/>
        <v>3.1639370078740159</v>
      </c>
      <c r="Y39">
        <f t="shared" si="14"/>
        <v>3.2222047244094489</v>
      </c>
      <c r="Z39">
        <f t="shared" si="15"/>
        <v>3.280472440944882</v>
      </c>
      <c r="AA39">
        <f t="shared" si="16"/>
        <v>3.3387401574803151</v>
      </c>
      <c r="AB39">
        <f t="shared" si="17"/>
        <v>3.3970078740157481</v>
      </c>
      <c r="AC39">
        <f t="shared" si="18"/>
        <v>3.4552755905511812</v>
      </c>
      <c r="AD39">
        <f t="shared" si="19"/>
        <v>3.5135433070866142</v>
      </c>
      <c r="AE39">
        <f t="shared" si="20"/>
        <v>3.5718110236220473</v>
      </c>
      <c r="AF39">
        <f t="shared" si="21"/>
        <v>3.6300787401574803</v>
      </c>
      <c r="AG39">
        <f t="shared" si="22"/>
        <v>3.6883464566929138</v>
      </c>
    </row>
    <row r="40" spans="11:33" x14ac:dyDescent="0.6">
      <c r="K40">
        <v>3.8</v>
      </c>
      <c r="L40">
        <f t="shared" si="4"/>
        <v>0.9989995977858408</v>
      </c>
      <c r="M40">
        <f t="shared" si="5"/>
        <v>1.7713385826771653</v>
      </c>
      <c r="N40">
        <f t="shared" si="27"/>
        <v>1.9329133858267715</v>
      </c>
      <c r="O40">
        <f t="shared" si="6"/>
        <v>2.1124409448818899</v>
      </c>
      <c r="P40">
        <f t="shared" si="7"/>
        <v>2.2919685039370075</v>
      </c>
      <c r="Q40">
        <f t="shared" si="8"/>
        <v>2.4714960629921259</v>
      </c>
      <c r="R40">
        <f t="shared" si="9"/>
        <v>2.6510236220472438</v>
      </c>
      <c r="S40">
        <f t="shared" si="10"/>
        <v>2.8305511811023623</v>
      </c>
      <c r="T40">
        <f t="shared" si="11"/>
        <v>3.0100787401574798</v>
      </c>
      <c r="U40">
        <f t="shared" si="25"/>
        <v>3.0699212598425198</v>
      </c>
      <c r="V40">
        <f t="shared" si="12"/>
        <v>3.129763779527559</v>
      </c>
      <c r="W40">
        <f t="shared" si="26"/>
        <v>3.1896062992125982</v>
      </c>
      <c r="X40">
        <f t="shared" si="13"/>
        <v>3.2494488188976374</v>
      </c>
      <c r="Y40">
        <f t="shared" si="14"/>
        <v>3.309291338582677</v>
      </c>
      <c r="Z40">
        <f t="shared" si="15"/>
        <v>3.3691338582677162</v>
      </c>
      <c r="AA40">
        <f t="shared" si="16"/>
        <v>3.4289763779527558</v>
      </c>
      <c r="AB40">
        <f t="shared" si="17"/>
        <v>3.488818897637795</v>
      </c>
      <c r="AC40">
        <f t="shared" si="18"/>
        <v>3.5486614173228346</v>
      </c>
      <c r="AD40">
        <f t="shared" si="19"/>
        <v>3.6085039370078738</v>
      </c>
      <c r="AE40">
        <f t="shared" si="20"/>
        <v>3.6683464566929129</v>
      </c>
      <c r="AF40">
        <f t="shared" si="21"/>
        <v>3.7281889763779525</v>
      </c>
      <c r="AG40">
        <f t="shared" si="22"/>
        <v>3.7880314960629922</v>
      </c>
    </row>
    <row r="41" spans="11:33" x14ac:dyDescent="0.6">
      <c r="K41">
        <v>3.9</v>
      </c>
      <c r="L41">
        <f t="shared" si="4"/>
        <v>0.99918086567002784</v>
      </c>
      <c r="M41">
        <f t="shared" si="5"/>
        <v>1.8179527559055118</v>
      </c>
      <c r="N41">
        <f t="shared" si="27"/>
        <v>1.9837795275590551</v>
      </c>
      <c r="O41">
        <f t="shared" si="6"/>
        <v>2.1680314960629921</v>
      </c>
      <c r="P41">
        <f t="shared" si="7"/>
        <v>2.3522834645669288</v>
      </c>
      <c r="Q41">
        <f t="shared" si="8"/>
        <v>2.536535433070866</v>
      </c>
      <c r="R41">
        <f t="shared" si="9"/>
        <v>2.7207874015748033</v>
      </c>
      <c r="S41">
        <f t="shared" si="10"/>
        <v>2.90503937007874</v>
      </c>
      <c r="T41">
        <f t="shared" si="11"/>
        <v>3.0892913385826768</v>
      </c>
      <c r="U41">
        <f t="shared" si="25"/>
        <v>3.150708661417323</v>
      </c>
      <c r="V41">
        <f t="shared" si="12"/>
        <v>3.2121259842519683</v>
      </c>
      <c r="W41">
        <f t="shared" si="26"/>
        <v>3.273543307086614</v>
      </c>
      <c r="X41">
        <f t="shared" si="13"/>
        <v>3.3349606299212597</v>
      </c>
      <c r="Y41">
        <f t="shared" si="14"/>
        <v>3.3963779527559055</v>
      </c>
      <c r="Z41">
        <f t="shared" si="15"/>
        <v>3.4577952755905512</v>
      </c>
      <c r="AA41">
        <f t="shared" si="16"/>
        <v>3.5192125984251965</v>
      </c>
      <c r="AB41">
        <f t="shared" si="17"/>
        <v>3.5806299212598423</v>
      </c>
      <c r="AC41">
        <f t="shared" si="18"/>
        <v>3.6420472440944884</v>
      </c>
      <c r="AD41">
        <f t="shared" si="19"/>
        <v>3.7034645669291337</v>
      </c>
      <c r="AE41">
        <f t="shared" si="20"/>
        <v>3.7648818897637795</v>
      </c>
      <c r="AF41">
        <f t="shared" si="21"/>
        <v>3.8262992125984248</v>
      </c>
      <c r="AG41">
        <f t="shared" si="22"/>
        <v>3.8877165354330709</v>
      </c>
    </row>
    <row r="42" spans="11:33" x14ac:dyDescent="0.6">
      <c r="K42">
        <v>4</v>
      </c>
      <c r="L42">
        <f t="shared" si="4"/>
        <v>0.99932929973906703</v>
      </c>
      <c r="M42">
        <f t="shared" si="5"/>
        <v>1.8645669291338582</v>
      </c>
      <c r="N42">
        <f t="shared" si="27"/>
        <v>2.0346456692913386</v>
      </c>
      <c r="O42">
        <f t="shared" si="6"/>
        <v>2.2236220472440946</v>
      </c>
      <c r="P42">
        <f t="shared" si="7"/>
        <v>2.4125984251968502</v>
      </c>
      <c r="Q42">
        <f t="shared" si="8"/>
        <v>2.6015748031496062</v>
      </c>
      <c r="R42">
        <f t="shared" si="9"/>
        <v>2.7905511811023622</v>
      </c>
      <c r="S42">
        <f t="shared" si="10"/>
        <v>2.9795275590551182</v>
      </c>
      <c r="T42">
        <f t="shared" si="11"/>
        <v>3.1685039370078738</v>
      </c>
      <c r="U42">
        <f t="shared" si="25"/>
        <v>3.2314960629921261</v>
      </c>
      <c r="V42">
        <f t="shared" si="12"/>
        <v>3.294488188976378</v>
      </c>
      <c r="W42">
        <f t="shared" si="26"/>
        <v>3.3574803149606298</v>
      </c>
      <c r="X42">
        <f t="shared" si="13"/>
        <v>3.4204724409448817</v>
      </c>
      <c r="Y42">
        <f t="shared" si="14"/>
        <v>3.483464566929134</v>
      </c>
      <c r="Z42">
        <f t="shared" si="15"/>
        <v>3.5464566929133858</v>
      </c>
      <c r="AA42">
        <f t="shared" si="16"/>
        <v>3.6094488188976377</v>
      </c>
      <c r="AB42">
        <f t="shared" si="17"/>
        <v>3.6724409448818895</v>
      </c>
      <c r="AD42">
        <f t="shared" si="19"/>
        <v>3.7984251968503937</v>
      </c>
      <c r="AE42">
        <f t="shared" si="20"/>
        <v>3.8614173228346456</v>
      </c>
      <c r="AF42">
        <f t="shared" si="21"/>
        <v>3.9244094488188974</v>
      </c>
      <c r="AG42">
        <f t="shared" si="22"/>
        <v>3.9874015748031497</v>
      </c>
    </row>
    <row r="43" spans="11:33" x14ac:dyDescent="0.6">
      <c r="AD43">
        <f t="shared" si="19"/>
        <v>0</v>
      </c>
      <c r="AE43">
        <f t="shared" si="20"/>
        <v>0</v>
      </c>
      <c r="AF43">
        <f t="shared" si="21"/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2920-891B-41E3-8DF3-5AFB379C5B9D}">
  <dimension ref="B1:AH43"/>
  <sheetViews>
    <sheetView tabSelected="1" topLeftCell="A13" zoomScale="40" zoomScaleNormal="40" workbookViewId="0">
      <selection activeCell="P25" sqref="P25"/>
    </sheetView>
  </sheetViews>
  <sheetFormatPr defaultRowHeight="20" x14ac:dyDescent="0.6"/>
  <cols>
    <col min="11" max="11" width="19.61328125" customWidth="1"/>
  </cols>
  <sheetData>
    <row r="1" spans="2:34" x14ac:dyDescent="0.6">
      <c r="K1" t="s">
        <v>14</v>
      </c>
      <c r="L1">
        <v>0.1</v>
      </c>
      <c r="M1">
        <v>0.2</v>
      </c>
      <c r="N1">
        <v>0.3</v>
      </c>
      <c r="O1">
        <v>0.4</v>
      </c>
      <c r="P1">
        <v>0.5</v>
      </c>
      <c r="Q1">
        <v>0.6</v>
      </c>
      <c r="R1">
        <v>0.7</v>
      </c>
      <c r="S1">
        <v>0.8</v>
      </c>
      <c r="T1">
        <v>0.9</v>
      </c>
      <c r="U1">
        <v>1</v>
      </c>
      <c r="V1">
        <v>1.1000000000000001</v>
      </c>
      <c r="W1">
        <v>1.2</v>
      </c>
      <c r="X1">
        <v>1.3</v>
      </c>
      <c r="Y1">
        <v>1.4</v>
      </c>
      <c r="Z1">
        <v>1.5</v>
      </c>
      <c r="AA1">
        <v>1.6</v>
      </c>
      <c r="AB1">
        <v>1.7</v>
      </c>
      <c r="AC1">
        <v>1.8</v>
      </c>
      <c r="AD1">
        <v>1.9</v>
      </c>
      <c r="AE1">
        <v>2</v>
      </c>
      <c r="AF1">
        <v>2.1</v>
      </c>
      <c r="AG1">
        <v>2.2000000000000002</v>
      </c>
      <c r="AH1">
        <v>2.2999999999999998</v>
      </c>
    </row>
    <row r="2" spans="2:34" x14ac:dyDescent="0.6">
      <c r="B2" t="s">
        <v>6</v>
      </c>
      <c r="C2" t="s">
        <v>3</v>
      </c>
      <c r="D2" t="s">
        <v>4</v>
      </c>
      <c r="F2" t="s">
        <v>2</v>
      </c>
      <c r="G2" t="s">
        <v>7</v>
      </c>
      <c r="H2" t="s">
        <v>10</v>
      </c>
      <c r="I2" t="s">
        <v>11</v>
      </c>
      <c r="K2" t="s">
        <v>41</v>
      </c>
      <c r="L2">
        <f>2*_xlfn.COTH(2*L1)-_xlfn.COTH(L1)</f>
        <v>9.9667994624955014E-2</v>
      </c>
      <c r="M2">
        <f t="shared" ref="M2:AE2" si="0">2*_xlfn.COTH(2*M1)-_xlfn.COTH(M1)</f>
        <v>0.19737532022490445</v>
      </c>
      <c r="N2">
        <f t="shared" si="0"/>
        <v>0.29131261245159079</v>
      </c>
      <c r="O2">
        <f t="shared" si="0"/>
        <v>0.37994896225522545</v>
      </c>
      <c r="P2">
        <f t="shared" si="0"/>
        <v>0.46211715726001001</v>
      </c>
      <c r="Q2">
        <f t="shared" si="0"/>
        <v>0.53704956699803552</v>
      </c>
      <c r="R2">
        <f t="shared" si="0"/>
        <v>0.60436777711716405</v>
      </c>
      <c r="S2">
        <f t="shared" si="0"/>
        <v>0.66403677026784913</v>
      </c>
      <c r="T2">
        <f t="shared" si="0"/>
        <v>0.7162978701990248</v>
      </c>
      <c r="U2">
        <f t="shared" si="0"/>
        <v>0.76159415595576441</v>
      </c>
      <c r="V2">
        <f t="shared" si="0"/>
        <v>0.80049902176062959</v>
      </c>
      <c r="W2">
        <f t="shared" si="0"/>
        <v>0.83365460701215555</v>
      </c>
      <c r="X2">
        <f t="shared" si="0"/>
        <v>0.86172315931330634</v>
      </c>
      <c r="Y2">
        <f t="shared" si="0"/>
        <v>0.88535164820226253</v>
      </c>
      <c r="Z2">
        <f t="shared" si="0"/>
        <v>0.90514825364486606</v>
      </c>
      <c r="AA2">
        <f t="shared" si="0"/>
        <v>0.92166855440647111</v>
      </c>
      <c r="AB2">
        <f t="shared" si="0"/>
        <v>0.93540907060309886</v>
      </c>
      <c r="AC2">
        <f t="shared" si="0"/>
        <v>0.94680601284626809</v>
      </c>
      <c r="AD2">
        <f t="shared" si="0"/>
        <v>0.95623745812773886</v>
      </c>
      <c r="AE2">
        <f t="shared" si="0"/>
        <v>0.96402758007581713</v>
      </c>
      <c r="AF2">
        <f t="shared" ref="AF2" si="1">2*_xlfn.COTH(2*AF1)-_xlfn.COTH(AF1)</f>
        <v>0.9704519366134543</v>
      </c>
      <c r="AG2">
        <f t="shared" ref="AG2" si="2">2*_xlfn.COTH(2*AG1)-_xlfn.COTH(AG1)</f>
        <v>0.97574313003145141</v>
      </c>
      <c r="AH2">
        <f t="shared" ref="AH2" si="3">2*_xlfn.COTH(2*AH1)-_xlfn.COTH(AH1)</f>
        <v>0.98009639626619149</v>
      </c>
    </row>
    <row r="3" spans="2:34" x14ac:dyDescent="0.6">
      <c r="B3">
        <v>23</v>
      </c>
      <c r="C3">
        <v>7473.57</v>
      </c>
      <c r="D3">
        <v>0.50931000000000004</v>
      </c>
      <c r="F3">
        <f>B3+273</f>
        <v>296</v>
      </c>
      <c r="G3">
        <f t="shared" ref="G3:G27" si="4">D3-(4*3.14*(10^-7)*7471.8252)</f>
        <v>0.49992538754880006</v>
      </c>
      <c r="H3">
        <f t="shared" ref="H3:H27" si="5">F3/$I$30</f>
        <v>0.46614173228346456</v>
      </c>
      <c r="I3">
        <f>G3/0.52623725</f>
        <v>0.950000000092734</v>
      </c>
      <c r="K3">
        <v>1</v>
      </c>
      <c r="L3">
        <f>$H3*L$1</f>
        <v>4.6614173228346462E-2</v>
      </c>
      <c r="M3">
        <f>$H3*M$1</f>
        <v>9.3228346456692923E-2</v>
      </c>
      <c r="N3">
        <f t="shared" ref="N3:AE17" si="6">$H3*N$1</f>
        <v>0.13984251968503936</v>
      </c>
      <c r="O3">
        <f t="shared" si="6"/>
        <v>0.18645669291338585</v>
      </c>
      <c r="P3">
        <f t="shared" si="6"/>
        <v>0.23307086614173228</v>
      </c>
      <c r="Q3">
        <f t="shared" si="6"/>
        <v>0.27968503937007871</v>
      </c>
      <c r="R3">
        <f t="shared" si="6"/>
        <v>0.32629921259842515</v>
      </c>
      <c r="S3">
        <f t="shared" si="6"/>
        <v>0.37291338582677169</v>
      </c>
      <c r="T3">
        <f t="shared" si="6"/>
        <v>0.41952755905511813</v>
      </c>
      <c r="U3">
        <f t="shared" si="6"/>
        <v>0.46614173228346456</v>
      </c>
      <c r="V3">
        <f t="shared" si="6"/>
        <v>0.51275590551181105</v>
      </c>
      <c r="W3">
        <f t="shared" si="6"/>
        <v>0.55937007874015743</v>
      </c>
      <c r="X3">
        <f t="shared" si="6"/>
        <v>0.60598425196850392</v>
      </c>
      <c r="Y3">
        <f t="shared" si="6"/>
        <v>0.6525984251968503</v>
      </c>
      <c r="Z3">
        <f t="shared" si="6"/>
        <v>0.6992125984251969</v>
      </c>
      <c r="AA3">
        <f t="shared" si="6"/>
        <v>0.74582677165354339</v>
      </c>
      <c r="AB3">
        <f t="shared" si="6"/>
        <v>0.79244094488188976</v>
      </c>
      <c r="AC3">
        <f t="shared" si="6"/>
        <v>0.83905511811023625</v>
      </c>
      <c r="AD3">
        <f>$H3*AD$1</f>
        <v>0.88566929133858263</v>
      </c>
      <c r="AE3">
        <f t="shared" si="6"/>
        <v>0.93228346456692912</v>
      </c>
      <c r="AF3">
        <f t="shared" ref="AF3:AH18" si="7">$H3*AF$1</f>
        <v>0.97889763779527561</v>
      </c>
      <c r="AG3">
        <f t="shared" si="7"/>
        <v>1.0255118110236221</v>
      </c>
      <c r="AH3">
        <f t="shared" si="7"/>
        <v>1.0721259842519684</v>
      </c>
    </row>
    <row r="4" spans="2:34" x14ac:dyDescent="0.6">
      <c r="B4">
        <v>50</v>
      </c>
      <c r="C4">
        <v>7472.12</v>
      </c>
      <c r="D4">
        <v>0.51463999999999999</v>
      </c>
      <c r="F4">
        <f t="shared" ref="F4:F27" si="8">B4+273</f>
        <v>323</v>
      </c>
      <c r="G4">
        <f t="shared" si="4"/>
        <v>0.50525538754879995</v>
      </c>
      <c r="H4">
        <f t="shared" si="5"/>
        <v>0.50866141732283465</v>
      </c>
      <c r="I4">
        <f t="shared" ref="I4:I27" si="9">G4/0.52623725</f>
        <v>0.96012851151985146</v>
      </c>
      <c r="K4">
        <v>2</v>
      </c>
      <c r="L4">
        <f t="shared" ref="L4:AA23" si="10">$H4*L$1</f>
        <v>5.0866141732283467E-2</v>
      </c>
      <c r="M4">
        <f t="shared" si="10"/>
        <v>0.10173228346456693</v>
      </c>
      <c r="N4">
        <f t="shared" si="6"/>
        <v>0.15259842519685038</v>
      </c>
      <c r="O4">
        <f t="shared" si="6"/>
        <v>0.20346456692913387</v>
      </c>
      <c r="P4">
        <f t="shared" si="6"/>
        <v>0.25433070866141733</v>
      </c>
      <c r="Q4">
        <f t="shared" si="6"/>
        <v>0.30519685039370076</v>
      </c>
      <c r="R4">
        <f t="shared" si="6"/>
        <v>0.35606299212598425</v>
      </c>
      <c r="S4">
        <f t="shared" si="6"/>
        <v>0.40692913385826773</v>
      </c>
      <c r="T4">
        <f t="shared" si="6"/>
        <v>0.45779527559055122</v>
      </c>
      <c r="U4">
        <f t="shared" si="6"/>
        <v>0.50866141732283465</v>
      </c>
      <c r="V4">
        <f t="shared" si="6"/>
        <v>0.5595275590551182</v>
      </c>
      <c r="W4">
        <f t="shared" si="6"/>
        <v>0.61039370078740152</v>
      </c>
      <c r="X4">
        <f t="shared" si="6"/>
        <v>0.66125984251968506</v>
      </c>
      <c r="Y4">
        <f t="shared" si="6"/>
        <v>0.71212598425196849</v>
      </c>
      <c r="Z4">
        <f t="shared" si="6"/>
        <v>0.76299212598425203</v>
      </c>
      <c r="AA4">
        <f t="shared" si="6"/>
        <v>0.81385826771653547</v>
      </c>
      <c r="AB4">
        <f t="shared" si="6"/>
        <v>0.8647244094488189</v>
      </c>
      <c r="AC4">
        <f t="shared" si="6"/>
        <v>0.91559055118110244</v>
      </c>
      <c r="AD4">
        <f t="shared" ref="AD4:AH23" si="11">$H4*AD$1</f>
        <v>0.96645669291338576</v>
      </c>
      <c r="AE4">
        <f t="shared" si="11"/>
        <v>1.0173228346456693</v>
      </c>
      <c r="AF4">
        <f t="shared" si="7"/>
        <v>1.0681889763779528</v>
      </c>
      <c r="AG4">
        <f t="shared" si="7"/>
        <v>1.1190551181102364</v>
      </c>
      <c r="AH4">
        <f t="shared" si="7"/>
        <v>1.1699212598425197</v>
      </c>
    </row>
    <row r="5" spans="2:34" x14ac:dyDescent="0.6">
      <c r="B5">
        <v>80</v>
      </c>
      <c r="C5">
        <v>7473.33</v>
      </c>
      <c r="D5">
        <v>0.51036999999999999</v>
      </c>
      <c r="F5">
        <f t="shared" si="8"/>
        <v>353</v>
      </c>
      <c r="G5">
        <f t="shared" si="4"/>
        <v>0.50098538754879995</v>
      </c>
      <c r="H5">
        <f t="shared" si="5"/>
        <v>0.55590551181102366</v>
      </c>
      <c r="I5">
        <f t="shared" si="9"/>
        <v>0.95201430067673842</v>
      </c>
      <c r="K5">
        <v>3</v>
      </c>
      <c r="L5">
        <f t="shared" si="10"/>
        <v>5.5590551181102371E-2</v>
      </c>
      <c r="M5">
        <f t="shared" si="10"/>
        <v>0.11118110236220474</v>
      </c>
      <c r="N5">
        <f t="shared" si="6"/>
        <v>0.16677165354330709</v>
      </c>
      <c r="O5">
        <f t="shared" si="6"/>
        <v>0.22236220472440948</v>
      </c>
      <c r="P5">
        <f t="shared" si="6"/>
        <v>0.27795275590551183</v>
      </c>
      <c r="Q5">
        <f t="shared" si="6"/>
        <v>0.33354330708661417</v>
      </c>
      <c r="R5">
        <f t="shared" si="6"/>
        <v>0.38913385826771651</v>
      </c>
      <c r="S5">
        <f t="shared" si="6"/>
        <v>0.44472440944881897</v>
      </c>
      <c r="T5">
        <f t="shared" si="6"/>
        <v>0.50031496062992131</v>
      </c>
      <c r="U5">
        <f t="shared" si="6"/>
        <v>0.55590551181102366</v>
      </c>
      <c r="V5">
        <f t="shared" si="6"/>
        <v>0.61149606299212611</v>
      </c>
      <c r="W5">
        <f t="shared" si="6"/>
        <v>0.66708661417322834</v>
      </c>
      <c r="X5">
        <f t="shared" si="6"/>
        <v>0.7226771653543308</v>
      </c>
      <c r="Y5">
        <f t="shared" si="6"/>
        <v>0.77826771653543303</v>
      </c>
      <c r="Z5">
        <f t="shared" si="6"/>
        <v>0.83385826771653548</v>
      </c>
      <c r="AA5">
        <f t="shared" si="6"/>
        <v>0.88944881889763794</v>
      </c>
      <c r="AB5">
        <f t="shared" si="6"/>
        <v>0.94503937007874017</v>
      </c>
      <c r="AC5">
        <f t="shared" si="6"/>
        <v>1.0006299212598426</v>
      </c>
      <c r="AD5">
        <f t="shared" si="11"/>
        <v>1.056220472440945</v>
      </c>
      <c r="AE5">
        <f t="shared" si="11"/>
        <v>1.1118110236220473</v>
      </c>
      <c r="AF5">
        <f t="shared" si="7"/>
        <v>1.1674015748031497</v>
      </c>
      <c r="AG5">
        <f t="shared" si="7"/>
        <v>1.2229921259842522</v>
      </c>
      <c r="AH5">
        <f t="shared" si="7"/>
        <v>1.2785826771653543</v>
      </c>
    </row>
    <row r="6" spans="2:34" x14ac:dyDescent="0.6">
      <c r="B6">
        <v>110</v>
      </c>
      <c r="C6">
        <v>7472.12</v>
      </c>
      <c r="D6">
        <v>0.50087999999999999</v>
      </c>
      <c r="F6">
        <f t="shared" si="8"/>
        <v>383</v>
      </c>
      <c r="G6">
        <f t="shared" si="4"/>
        <v>0.49149538754880001</v>
      </c>
      <c r="H6">
        <f t="shared" si="5"/>
        <v>0.60314960629921255</v>
      </c>
      <c r="I6">
        <f t="shared" si="9"/>
        <v>0.93398060959918749</v>
      </c>
      <c r="K6">
        <v>4</v>
      </c>
      <c r="L6">
        <f t="shared" si="10"/>
        <v>6.0314960629921255E-2</v>
      </c>
      <c r="M6">
        <f t="shared" si="10"/>
        <v>0.12062992125984251</v>
      </c>
      <c r="N6">
        <f t="shared" si="6"/>
        <v>0.18094488188976376</v>
      </c>
      <c r="O6">
        <f t="shared" si="6"/>
        <v>0.24125984251968502</v>
      </c>
      <c r="P6">
        <f t="shared" si="6"/>
        <v>0.30157480314960627</v>
      </c>
      <c r="Q6">
        <f t="shared" si="6"/>
        <v>0.36188976377952753</v>
      </c>
      <c r="R6">
        <f t="shared" si="6"/>
        <v>0.42220472440944878</v>
      </c>
      <c r="S6">
        <f t="shared" si="6"/>
        <v>0.48251968503937004</v>
      </c>
      <c r="T6">
        <f t="shared" si="6"/>
        <v>0.54283464566929129</v>
      </c>
      <c r="U6">
        <f t="shared" si="6"/>
        <v>0.60314960629921255</v>
      </c>
      <c r="V6">
        <f t="shared" si="6"/>
        <v>0.6634645669291338</v>
      </c>
      <c r="W6">
        <f t="shared" si="6"/>
        <v>0.72377952755905506</v>
      </c>
      <c r="X6">
        <f t="shared" si="6"/>
        <v>0.78409448818897631</v>
      </c>
      <c r="Y6">
        <f t="shared" si="6"/>
        <v>0.84440944881889757</v>
      </c>
      <c r="Z6">
        <f t="shared" si="6"/>
        <v>0.90472440944881882</v>
      </c>
      <c r="AA6">
        <f t="shared" si="6"/>
        <v>0.96503937007874008</v>
      </c>
      <c r="AB6">
        <f t="shared" si="6"/>
        <v>1.0253543307086612</v>
      </c>
      <c r="AC6">
        <f t="shared" si="6"/>
        <v>1.0856692913385826</v>
      </c>
      <c r="AD6">
        <f t="shared" si="11"/>
        <v>1.1459842519685037</v>
      </c>
      <c r="AE6">
        <f t="shared" si="11"/>
        <v>1.2062992125984251</v>
      </c>
      <c r="AF6">
        <f t="shared" si="7"/>
        <v>1.2666141732283465</v>
      </c>
      <c r="AG6">
        <f t="shared" si="7"/>
        <v>1.3269291338582676</v>
      </c>
      <c r="AH6">
        <f t="shared" si="7"/>
        <v>1.3872440944881888</v>
      </c>
    </row>
    <row r="7" spans="2:34" x14ac:dyDescent="0.6">
      <c r="B7">
        <v>140</v>
      </c>
      <c r="C7">
        <v>7473.09</v>
      </c>
      <c r="D7">
        <v>0.48714000000000002</v>
      </c>
      <c r="F7">
        <f t="shared" si="8"/>
        <v>413</v>
      </c>
      <c r="G7">
        <f t="shared" si="4"/>
        <v>0.47775538754880004</v>
      </c>
      <c r="H7">
        <f t="shared" si="5"/>
        <v>0.65039370078740155</v>
      </c>
      <c r="I7">
        <f t="shared" si="9"/>
        <v>0.90787071334991976</v>
      </c>
      <c r="K7">
        <v>5</v>
      </c>
      <c r="L7">
        <f t="shared" si="10"/>
        <v>6.5039370078740152E-2</v>
      </c>
      <c r="M7">
        <f t="shared" si="10"/>
        <v>0.1300787401574803</v>
      </c>
      <c r="N7">
        <f t="shared" si="6"/>
        <v>0.19511811023622047</v>
      </c>
      <c r="O7">
        <f t="shared" si="6"/>
        <v>0.26015748031496061</v>
      </c>
      <c r="P7">
        <f t="shared" si="6"/>
        <v>0.32519685039370078</v>
      </c>
      <c r="Q7">
        <f t="shared" si="6"/>
        <v>0.39023622047244094</v>
      </c>
      <c r="R7">
        <f t="shared" si="6"/>
        <v>0.45527559055118105</v>
      </c>
      <c r="S7">
        <f t="shared" si="6"/>
        <v>0.52031496062992122</v>
      </c>
      <c r="T7">
        <f t="shared" si="6"/>
        <v>0.58535433070866139</v>
      </c>
      <c r="U7">
        <f t="shared" si="6"/>
        <v>0.65039370078740155</v>
      </c>
      <c r="V7">
        <f t="shared" si="6"/>
        <v>0.71543307086614172</v>
      </c>
      <c r="W7">
        <f t="shared" si="6"/>
        <v>0.78047244094488188</v>
      </c>
      <c r="X7">
        <f t="shared" si="6"/>
        <v>0.84551181102362205</v>
      </c>
      <c r="Y7">
        <f t="shared" si="6"/>
        <v>0.91055118110236211</v>
      </c>
      <c r="Z7">
        <f t="shared" si="6"/>
        <v>0.97559055118110227</v>
      </c>
      <c r="AA7">
        <f t="shared" si="6"/>
        <v>1.0406299212598424</v>
      </c>
      <c r="AB7">
        <f t="shared" si="6"/>
        <v>1.1056692913385826</v>
      </c>
      <c r="AC7">
        <f t="shared" si="6"/>
        <v>1.1707086614173228</v>
      </c>
      <c r="AD7">
        <f t="shared" si="11"/>
        <v>1.2357480314960629</v>
      </c>
      <c r="AE7">
        <f t="shared" si="11"/>
        <v>1.3007874015748031</v>
      </c>
      <c r="AF7">
        <f t="shared" si="7"/>
        <v>1.3658267716535433</v>
      </c>
      <c r="AG7">
        <f t="shared" si="7"/>
        <v>1.4308661417322834</v>
      </c>
      <c r="AH7">
        <f t="shared" si="7"/>
        <v>1.4959055118110234</v>
      </c>
    </row>
    <row r="8" spans="2:34" x14ac:dyDescent="0.6">
      <c r="B8">
        <v>170</v>
      </c>
      <c r="C8">
        <v>7473.33</v>
      </c>
      <c r="D8">
        <v>0.46024999999999999</v>
      </c>
      <c r="F8">
        <f t="shared" si="8"/>
        <v>443</v>
      </c>
      <c r="G8">
        <f t="shared" si="4"/>
        <v>0.45086538754880001</v>
      </c>
      <c r="H8">
        <f t="shared" si="5"/>
        <v>0.69763779527559056</v>
      </c>
      <c r="I8">
        <f t="shared" si="9"/>
        <v>0.85677208815757533</v>
      </c>
      <c r="K8">
        <v>6</v>
      </c>
      <c r="L8">
        <f t="shared" si="10"/>
        <v>6.9763779527559064E-2</v>
      </c>
      <c r="M8">
        <f t="shared" si="10"/>
        <v>0.13952755905511813</v>
      </c>
      <c r="N8">
        <f t="shared" si="6"/>
        <v>0.20929133858267715</v>
      </c>
      <c r="O8">
        <f t="shared" si="6"/>
        <v>0.27905511811023626</v>
      </c>
      <c r="P8">
        <f t="shared" si="6"/>
        <v>0.34881889763779528</v>
      </c>
      <c r="Q8">
        <f t="shared" si="6"/>
        <v>0.4185826771653543</v>
      </c>
      <c r="R8">
        <f t="shared" si="6"/>
        <v>0.48834645669291338</v>
      </c>
      <c r="S8">
        <f t="shared" si="6"/>
        <v>0.55811023622047251</v>
      </c>
      <c r="T8">
        <f t="shared" si="6"/>
        <v>0.62787401574803148</v>
      </c>
      <c r="U8">
        <f t="shared" si="6"/>
        <v>0.69763779527559056</v>
      </c>
      <c r="V8">
        <f t="shared" si="6"/>
        <v>0.76740157480314963</v>
      </c>
      <c r="W8">
        <f t="shared" si="6"/>
        <v>0.8371653543307086</v>
      </c>
      <c r="X8">
        <f t="shared" si="6"/>
        <v>0.90692913385826779</v>
      </c>
      <c r="Y8">
        <f t="shared" si="6"/>
        <v>0.97669291338582676</v>
      </c>
      <c r="Z8">
        <f t="shared" si="6"/>
        <v>1.0464566929133858</v>
      </c>
      <c r="AA8">
        <f t="shared" si="6"/>
        <v>1.116220472440945</v>
      </c>
      <c r="AB8">
        <f t="shared" si="6"/>
        <v>1.185984251968504</v>
      </c>
      <c r="AC8">
        <f t="shared" si="6"/>
        <v>1.255748031496063</v>
      </c>
      <c r="AD8">
        <f t="shared" si="11"/>
        <v>1.3255118110236219</v>
      </c>
      <c r="AE8">
        <f t="shared" si="11"/>
        <v>1.3952755905511811</v>
      </c>
      <c r="AF8">
        <f t="shared" si="7"/>
        <v>1.4650393700787403</v>
      </c>
      <c r="AG8">
        <f t="shared" si="7"/>
        <v>1.5348031496062993</v>
      </c>
      <c r="AH8">
        <f t="shared" si="7"/>
        <v>1.6045669291338582</v>
      </c>
    </row>
    <row r="9" spans="2:34" x14ac:dyDescent="0.6">
      <c r="B9">
        <v>200</v>
      </c>
      <c r="C9">
        <v>7473.09</v>
      </c>
      <c r="D9">
        <v>0.41575000000000001</v>
      </c>
      <c r="F9">
        <f t="shared" si="8"/>
        <v>473</v>
      </c>
      <c r="G9">
        <f t="shared" si="4"/>
        <v>0.40636538754880003</v>
      </c>
      <c r="H9">
        <f t="shared" si="5"/>
        <v>0.74488188976377956</v>
      </c>
      <c r="I9">
        <f t="shared" si="9"/>
        <v>0.7722094693007765</v>
      </c>
      <c r="K9">
        <v>7</v>
      </c>
      <c r="L9">
        <f t="shared" si="10"/>
        <v>7.4488188976377961E-2</v>
      </c>
      <c r="M9">
        <f t="shared" si="10"/>
        <v>0.14897637795275592</v>
      </c>
      <c r="N9">
        <f t="shared" si="6"/>
        <v>0.22346456692913386</v>
      </c>
      <c r="O9">
        <f t="shared" si="6"/>
        <v>0.29795275590551185</v>
      </c>
      <c r="P9">
        <f t="shared" si="6"/>
        <v>0.37244094488188978</v>
      </c>
      <c r="Q9">
        <f t="shared" si="6"/>
        <v>0.44692913385826771</v>
      </c>
      <c r="R9">
        <f t="shared" si="6"/>
        <v>0.5214173228346457</v>
      </c>
      <c r="S9">
        <f t="shared" si="6"/>
        <v>0.59590551181102369</v>
      </c>
      <c r="T9">
        <f t="shared" si="6"/>
        <v>0.67039370078740157</v>
      </c>
      <c r="U9">
        <f t="shared" si="6"/>
        <v>0.74488188976377956</v>
      </c>
      <c r="V9">
        <f t="shared" si="6"/>
        <v>0.81937007874015755</v>
      </c>
      <c r="W9">
        <f t="shared" si="6"/>
        <v>0.89385826771653543</v>
      </c>
      <c r="X9">
        <f t="shared" si="6"/>
        <v>0.96834645669291342</v>
      </c>
      <c r="Y9">
        <f t="shared" si="6"/>
        <v>1.0428346456692914</v>
      </c>
      <c r="Z9">
        <f t="shared" si="6"/>
        <v>1.1173228346456694</v>
      </c>
      <c r="AA9">
        <f t="shared" si="6"/>
        <v>1.1918110236220474</v>
      </c>
      <c r="AB9">
        <f t="shared" si="6"/>
        <v>1.2662992125984252</v>
      </c>
      <c r="AC9">
        <f t="shared" si="6"/>
        <v>1.3407874015748031</v>
      </c>
      <c r="AD9">
        <f t="shared" si="11"/>
        <v>1.4152755905511811</v>
      </c>
      <c r="AE9">
        <f t="shared" si="11"/>
        <v>1.4897637795275591</v>
      </c>
      <c r="AF9">
        <f t="shared" si="7"/>
        <v>1.5642519685039371</v>
      </c>
      <c r="AG9">
        <f t="shared" si="7"/>
        <v>1.6387401574803151</v>
      </c>
      <c r="AH9">
        <f t="shared" si="7"/>
        <v>1.7132283464566929</v>
      </c>
    </row>
    <row r="10" spans="2:34" x14ac:dyDescent="0.6">
      <c r="B10">
        <v>230</v>
      </c>
      <c r="C10">
        <v>7472.6</v>
      </c>
      <c r="D10">
        <v>0.37280999999999997</v>
      </c>
      <c r="F10">
        <f t="shared" si="8"/>
        <v>503</v>
      </c>
      <c r="G10">
        <f t="shared" si="4"/>
        <v>0.36342538754879999</v>
      </c>
      <c r="H10">
        <f t="shared" si="5"/>
        <v>0.79212598425196845</v>
      </c>
      <c r="I10">
        <f t="shared" si="9"/>
        <v>0.69061129281289002</v>
      </c>
      <c r="K10">
        <v>8</v>
      </c>
      <c r="L10">
        <f t="shared" si="10"/>
        <v>7.9212598425196845E-2</v>
      </c>
      <c r="M10">
        <f t="shared" si="10"/>
        <v>0.15842519685039369</v>
      </c>
      <c r="N10">
        <f t="shared" si="6"/>
        <v>0.23763779527559054</v>
      </c>
      <c r="O10">
        <f t="shared" si="6"/>
        <v>0.31685039370078738</v>
      </c>
      <c r="P10">
        <f t="shared" si="6"/>
        <v>0.39606299212598423</v>
      </c>
      <c r="Q10">
        <f t="shared" si="6"/>
        <v>0.47527559055118107</v>
      </c>
      <c r="R10">
        <f t="shared" si="6"/>
        <v>0.55448818897637786</v>
      </c>
      <c r="S10">
        <f t="shared" si="6"/>
        <v>0.63370078740157476</v>
      </c>
      <c r="T10">
        <f t="shared" si="6"/>
        <v>0.71291338582677166</v>
      </c>
      <c r="U10">
        <f t="shared" si="6"/>
        <v>0.79212598425196845</v>
      </c>
      <c r="V10">
        <f t="shared" si="6"/>
        <v>0.87133858267716535</v>
      </c>
      <c r="W10">
        <f t="shared" si="6"/>
        <v>0.95055118110236214</v>
      </c>
      <c r="X10">
        <f t="shared" si="6"/>
        <v>1.0297637795275589</v>
      </c>
      <c r="Y10">
        <f t="shared" si="6"/>
        <v>1.1089763779527557</v>
      </c>
      <c r="Z10">
        <f t="shared" si="6"/>
        <v>1.1881889763779527</v>
      </c>
      <c r="AA10">
        <f t="shared" si="6"/>
        <v>1.2674015748031495</v>
      </c>
      <c r="AB10">
        <f t="shared" si="6"/>
        <v>1.3466141732283463</v>
      </c>
      <c r="AC10">
        <f t="shared" si="6"/>
        <v>1.4258267716535433</v>
      </c>
      <c r="AD10">
        <f t="shared" si="11"/>
        <v>1.5050393700787399</v>
      </c>
      <c r="AE10">
        <f t="shared" si="11"/>
        <v>1.5842519685039369</v>
      </c>
      <c r="AF10">
        <f t="shared" si="7"/>
        <v>1.6634645669291339</v>
      </c>
      <c r="AG10">
        <f t="shared" si="7"/>
        <v>1.7426771653543307</v>
      </c>
      <c r="AH10">
        <f t="shared" si="7"/>
        <v>1.8218897637795273</v>
      </c>
    </row>
    <row r="11" spans="2:34" x14ac:dyDescent="0.6">
      <c r="B11">
        <v>240</v>
      </c>
      <c r="C11">
        <v>7470.68</v>
      </c>
      <c r="D11">
        <v>0.35669000000000001</v>
      </c>
      <c r="F11">
        <f t="shared" si="8"/>
        <v>513</v>
      </c>
      <c r="G11">
        <f t="shared" si="4"/>
        <v>0.34730538754880003</v>
      </c>
      <c r="H11">
        <f t="shared" si="5"/>
        <v>0.80787401574803153</v>
      </c>
      <c r="I11">
        <f t="shared" si="9"/>
        <v>0.65997872166746085</v>
      </c>
      <c r="K11">
        <v>9</v>
      </c>
      <c r="L11">
        <f t="shared" si="10"/>
        <v>8.0787401574803158E-2</v>
      </c>
      <c r="M11">
        <f t="shared" si="10"/>
        <v>0.16157480314960632</v>
      </c>
      <c r="N11">
        <f t="shared" si="6"/>
        <v>0.24236220472440945</v>
      </c>
      <c r="O11">
        <f t="shared" si="6"/>
        <v>0.32314960629921263</v>
      </c>
      <c r="P11">
        <f t="shared" si="6"/>
        <v>0.40393700787401576</v>
      </c>
      <c r="Q11">
        <f t="shared" si="6"/>
        <v>0.48472440944881889</v>
      </c>
      <c r="R11">
        <f t="shared" si="6"/>
        <v>0.56551181102362202</v>
      </c>
      <c r="S11">
        <f t="shared" si="6"/>
        <v>0.64629921259842527</v>
      </c>
      <c r="T11">
        <f t="shared" si="6"/>
        <v>0.7270866141732284</v>
      </c>
      <c r="U11">
        <f t="shared" si="6"/>
        <v>0.80787401574803153</v>
      </c>
      <c r="V11">
        <f t="shared" si="6"/>
        <v>0.88866141732283477</v>
      </c>
      <c r="W11">
        <f t="shared" si="6"/>
        <v>0.96944881889763779</v>
      </c>
      <c r="X11">
        <f t="shared" si="6"/>
        <v>1.0502362204724409</v>
      </c>
      <c r="Y11">
        <f t="shared" si="6"/>
        <v>1.131023622047244</v>
      </c>
      <c r="Z11">
        <f t="shared" si="6"/>
        <v>1.2118110236220474</v>
      </c>
      <c r="AA11">
        <f t="shared" si="6"/>
        <v>1.2925984251968505</v>
      </c>
      <c r="AB11">
        <f t="shared" si="6"/>
        <v>1.3733858267716537</v>
      </c>
      <c r="AC11">
        <f t="shared" si="6"/>
        <v>1.4541732283464568</v>
      </c>
      <c r="AD11">
        <f t="shared" si="11"/>
        <v>1.5349606299212599</v>
      </c>
      <c r="AE11">
        <f t="shared" si="11"/>
        <v>1.6157480314960631</v>
      </c>
      <c r="AF11">
        <f t="shared" si="7"/>
        <v>1.6965354330708662</v>
      </c>
      <c r="AG11">
        <f t="shared" si="7"/>
        <v>1.7773228346456695</v>
      </c>
      <c r="AH11">
        <f t="shared" si="7"/>
        <v>1.8581102362204724</v>
      </c>
    </row>
    <row r="12" spans="2:34" x14ac:dyDescent="0.6">
      <c r="B12">
        <v>250</v>
      </c>
      <c r="C12">
        <v>7473.33</v>
      </c>
      <c r="D12">
        <v>0.33905000000000002</v>
      </c>
      <c r="F12">
        <f t="shared" si="8"/>
        <v>523</v>
      </c>
      <c r="G12">
        <f t="shared" si="4"/>
        <v>0.32966538754880004</v>
      </c>
      <c r="H12">
        <f t="shared" si="5"/>
        <v>0.82362204724409449</v>
      </c>
      <c r="I12">
        <f t="shared" si="9"/>
        <v>0.62645771949591189</v>
      </c>
      <c r="K12">
        <v>10</v>
      </c>
      <c r="L12">
        <f t="shared" si="10"/>
        <v>8.2362204724409457E-2</v>
      </c>
      <c r="M12">
        <f t="shared" si="10"/>
        <v>0.16472440944881891</v>
      </c>
      <c r="N12">
        <f t="shared" si="6"/>
        <v>0.24708661417322833</v>
      </c>
      <c r="O12">
        <f t="shared" si="6"/>
        <v>0.32944881889763783</v>
      </c>
      <c r="P12">
        <f t="shared" si="6"/>
        <v>0.41181102362204725</v>
      </c>
      <c r="Q12">
        <f t="shared" si="6"/>
        <v>0.49417322834645666</v>
      </c>
      <c r="R12">
        <f t="shared" si="6"/>
        <v>0.57653543307086608</v>
      </c>
      <c r="S12">
        <f t="shared" si="6"/>
        <v>0.65889763779527566</v>
      </c>
      <c r="T12">
        <f t="shared" si="6"/>
        <v>0.74125984251968502</v>
      </c>
      <c r="U12">
        <f t="shared" si="6"/>
        <v>0.82362204724409449</v>
      </c>
      <c r="V12">
        <f t="shared" si="6"/>
        <v>0.90598425196850396</v>
      </c>
      <c r="W12">
        <f t="shared" si="6"/>
        <v>0.98834645669291332</v>
      </c>
      <c r="X12">
        <f t="shared" si="6"/>
        <v>1.0707086614173229</v>
      </c>
      <c r="Y12">
        <f t="shared" si="6"/>
        <v>1.1530708661417322</v>
      </c>
      <c r="Z12">
        <f t="shared" si="6"/>
        <v>1.2354330708661418</v>
      </c>
      <c r="AA12">
        <f t="shared" si="6"/>
        <v>1.3177952755905513</v>
      </c>
      <c r="AB12">
        <f t="shared" si="6"/>
        <v>1.4001574803149606</v>
      </c>
      <c r="AC12">
        <f t="shared" si="6"/>
        <v>1.48251968503937</v>
      </c>
      <c r="AD12">
        <f t="shared" si="11"/>
        <v>1.5648818897637795</v>
      </c>
      <c r="AE12">
        <f t="shared" si="11"/>
        <v>1.647244094488189</v>
      </c>
      <c r="AF12">
        <f t="shared" si="7"/>
        <v>1.7296062992125985</v>
      </c>
      <c r="AG12">
        <f t="shared" si="7"/>
        <v>1.8119685039370079</v>
      </c>
      <c r="AH12">
        <f t="shared" si="7"/>
        <v>1.8943307086614172</v>
      </c>
    </row>
    <row r="13" spans="2:34" x14ac:dyDescent="0.6">
      <c r="B13">
        <v>260</v>
      </c>
      <c r="C13">
        <v>7471.88</v>
      </c>
      <c r="D13">
        <v>0.32251000000000002</v>
      </c>
      <c r="F13">
        <f t="shared" si="8"/>
        <v>533</v>
      </c>
      <c r="G13">
        <f t="shared" si="4"/>
        <v>0.31312538754880004</v>
      </c>
      <c r="H13">
        <f t="shared" si="5"/>
        <v>0.83937007874015745</v>
      </c>
      <c r="I13">
        <f t="shared" si="9"/>
        <v>0.59502702925116013</v>
      </c>
      <c r="K13">
        <v>11</v>
      </c>
      <c r="L13">
        <f t="shared" si="10"/>
        <v>8.3937007874015757E-2</v>
      </c>
      <c r="M13">
        <f t="shared" si="10"/>
        <v>0.16787401574803151</v>
      </c>
      <c r="N13">
        <f t="shared" si="6"/>
        <v>0.25181102362204721</v>
      </c>
      <c r="O13">
        <f t="shared" si="6"/>
        <v>0.33574803149606303</v>
      </c>
      <c r="P13">
        <f t="shared" si="6"/>
        <v>0.41968503937007873</v>
      </c>
      <c r="Q13">
        <f t="shared" si="6"/>
        <v>0.50362204724409443</v>
      </c>
      <c r="R13">
        <f t="shared" si="6"/>
        <v>0.58755905511811013</v>
      </c>
      <c r="S13">
        <f t="shared" si="6"/>
        <v>0.67149606299212605</v>
      </c>
      <c r="T13">
        <f t="shared" si="6"/>
        <v>0.75543307086614175</v>
      </c>
      <c r="U13">
        <f t="shared" si="6"/>
        <v>0.83937007874015745</v>
      </c>
      <c r="V13">
        <f t="shared" si="6"/>
        <v>0.92330708661417327</v>
      </c>
      <c r="W13">
        <f t="shared" si="6"/>
        <v>1.0072440944881889</v>
      </c>
      <c r="X13">
        <f t="shared" si="6"/>
        <v>1.0911811023622047</v>
      </c>
      <c r="Y13">
        <f t="shared" si="6"/>
        <v>1.1751181102362203</v>
      </c>
      <c r="Z13">
        <f t="shared" si="6"/>
        <v>1.2590551181102363</v>
      </c>
      <c r="AA13">
        <f t="shared" si="6"/>
        <v>1.3429921259842521</v>
      </c>
      <c r="AB13">
        <f t="shared" si="6"/>
        <v>1.4269291338582677</v>
      </c>
      <c r="AC13">
        <f t="shared" si="6"/>
        <v>1.5108661417322835</v>
      </c>
      <c r="AD13">
        <f t="shared" si="11"/>
        <v>1.5948031496062991</v>
      </c>
      <c r="AE13">
        <f t="shared" si="11"/>
        <v>1.6787401574803149</v>
      </c>
      <c r="AF13">
        <f t="shared" si="7"/>
        <v>1.7626771653543307</v>
      </c>
      <c r="AG13">
        <f t="shared" si="7"/>
        <v>1.8466141732283465</v>
      </c>
      <c r="AH13">
        <f t="shared" si="7"/>
        <v>1.9305511811023619</v>
      </c>
    </row>
    <row r="14" spans="2:34" x14ac:dyDescent="0.6">
      <c r="B14">
        <v>270</v>
      </c>
      <c r="C14">
        <v>7470.44</v>
      </c>
      <c r="D14">
        <v>0.30825000000000002</v>
      </c>
      <c r="F14">
        <f t="shared" si="8"/>
        <v>543</v>
      </c>
      <c r="G14">
        <f t="shared" si="4"/>
        <v>0.29886538754880004</v>
      </c>
      <c r="H14">
        <f t="shared" si="5"/>
        <v>0.85511811023622042</v>
      </c>
      <c r="I14">
        <f t="shared" si="9"/>
        <v>0.56792898554558813</v>
      </c>
      <c r="K14">
        <v>12</v>
      </c>
      <c r="L14">
        <f t="shared" si="10"/>
        <v>8.5511811023622042E-2</v>
      </c>
      <c r="M14">
        <f t="shared" si="10"/>
        <v>0.17102362204724408</v>
      </c>
      <c r="N14">
        <f t="shared" si="6"/>
        <v>0.25653543307086613</v>
      </c>
      <c r="O14">
        <f t="shared" si="6"/>
        <v>0.34204724409448817</v>
      </c>
      <c r="P14">
        <f t="shared" si="6"/>
        <v>0.42755905511811021</v>
      </c>
      <c r="Q14">
        <f t="shared" si="6"/>
        <v>0.51307086614173225</v>
      </c>
      <c r="R14">
        <f t="shared" si="6"/>
        <v>0.59858267716535429</v>
      </c>
      <c r="S14">
        <f t="shared" si="6"/>
        <v>0.68409448818897634</v>
      </c>
      <c r="T14">
        <f t="shared" si="6"/>
        <v>0.76960629921259838</v>
      </c>
      <c r="U14">
        <f t="shared" si="6"/>
        <v>0.85511811023622042</v>
      </c>
      <c r="V14">
        <f t="shared" si="6"/>
        <v>0.94062992125984257</v>
      </c>
      <c r="W14">
        <f t="shared" si="6"/>
        <v>1.0261417322834645</v>
      </c>
      <c r="X14">
        <f t="shared" si="6"/>
        <v>1.1116535433070867</v>
      </c>
      <c r="Y14">
        <f t="shared" si="6"/>
        <v>1.1971653543307086</v>
      </c>
      <c r="Z14">
        <f t="shared" si="6"/>
        <v>1.2826771653543307</v>
      </c>
      <c r="AA14">
        <f t="shared" si="6"/>
        <v>1.3681889763779527</v>
      </c>
      <c r="AB14">
        <f t="shared" si="6"/>
        <v>1.4537007874015746</v>
      </c>
      <c r="AC14">
        <f t="shared" si="6"/>
        <v>1.5392125984251968</v>
      </c>
      <c r="AD14">
        <f t="shared" si="11"/>
        <v>1.6247244094488187</v>
      </c>
      <c r="AE14">
        <f t="shared" si="11"/>
        <v>1.7102362204724408</v>
      </c>
      <c r="AF14">
        <f t="shared" si="7"/>
        <v>1.795748031496063</v>
      </c>
      <c r="AG14">
        <f t="shared" si="7"/>
        <v>1.8812598425196851</v>
      </c>
      <c r="AH14">
        <f t="shared" si="7"/>
        <v>1.9667716535433069</v>
      </c>
    </row>
    <row r="15" spans="2:34" x14ac:dyDescent="0.6">
      <c r="B15">
        <v>280</v>
      </c>
      <c r="C15">
        <v>7472.12</v>
      </c>
      <c r="D15">
        <v>0.29253000000000001</v>
      </c>
      <c r="F15">
        <f t="shared" si="8"/>
        <v>553</v>
      </c>
      <c r="G15">
        <f t="shared" si="4"/>
        <v>0.28314538754880003</v>
      </c>
      <c r="H15">
        <f t="shared" si="5"/>
        <v>0.87086614173228349</v>
      </c>
      <c r="I15">
        <f t="shared" si="9"/>
        <v>0.53805652782808522</v>
      </c>
      <c r="K15">
        <v>13</v>
      </c>
      <c r="L15">
        <f t="shared" si="10"/>
        <v>8.7086614173228355E-2</v>
      </c>
      <c r="M15">
        <f t="shared" si="10"/>
        <v>0.17417322834645671</v>
      </c>
      <c r="N15">
        <f t="shared" si="6"/>
        <v>0.26125984251968504</v>
      </c>
      <c r="O15">
        <f t="shared" si="6"/>
        <v>0.34834645669291342</v>
      </c>
      <c r="P15">
        <f t="shared" si="6"/>
        <v>0.43543307086614175</v>
      </c>
      <c r="Q15">
        <f t="shared" si="6"/>
        <v>0.52251968503937007</v>
      </c>
      <c r="R15">
        <f t="shared" si="6"/>
        <v>0.60960629921259846</v>
      </c>
      <c r="S15">
        <f t="shared" si="6"/>
        <v>0.69669291338582684</v>
      </c>
      <c r="T15">
        <f t="shared" si="6"/>
        <v>0.78377952755905511</v>
      </c>
      <c r="U15">
        <f t="shared" si="6"/>
        <v>0.87086614173228349</v>
      </c>
      <c r="V15">
        <f t="shared" si="6"/>
        <v>0.95795275590551188</v>
      </c>
      <c r="W15">
        <f t="shared" si="6"/>
        <v>1.0450393700787401</v>
      </c>
      <c r="X15">
        <f t="shared" si="6"/>
        <v>1.1321259842519686</v>
      </c>
      <c r="Y15">
        <f t="shared" si="6"/>
        <v>1.2192125984251969</v>
      </c>
      <c r="Z15">
        <f t="shared" si="6"/>
        <v>1.3062992125984252</v>
      </c>
      <c r="AA15">
        <f t="shared" si="6"/>
        <v>1.3933858267716537</v>
      </c>
      <c r="AB15">
        <f t="shared" si="6"/>
        <v>1.480472440944882</v>
      </c>
      <c r="AC15">
        <f t="shared" si="6"/>
        <v>1.5675590551181102</v>
      </c>
      <c r="AD15">
        <f t="shared" si="11"/>
        <v>1.6546456692913385</v>
      </c>
      <c r="AE15">
        <f t="shared" si="11"/>
        <v>1.741732283464567</v>
      </c>
      <c r="AF15">
        <f t="shared" si="7"/>
        <v>1.8288188976377955</v>
      </c>
      <c r="AG15">
        <f t="shared" si="7"/>
        <v>1.9159055118110238</v>
      </c>
      <c r="AH15">
        <f t="shared" si="7"/>
        <v>2.0029921259842518</v>
      </c>
    </row>
    <row r="16" spans="2:34" x14ac:dyDescent="0.6">
      <c r="B16">
        <v>290</v>
      </c>
      <c r="C16">
        <v>7473.09</v>
      </c>
      <c r="D16">
        <v>0.27567999999999998</v>
      </c>
      <c r="F16">
        <f t="shared" si="8"/>
        <v>563</v>
      </c>
      <c r="G16">
        <f t="shared" si="4"/>
        <v>0.2662953875488</v>
      </c>
      <c r="H16">
        <f t="shared" si="5"/>
        <v>0.88661417322834646</v>
      </c>
      <c r="I16">
        <f t="shared" si="9"/>
        <v>0.50603674967669054</v>
      </c>
      <c r="K16">
        <v>14</v>
      </c>
      <c r="L16">
        <f t="shared" si="10"/>
        <v>8.8661417322834654E-2</v>
      </c>
      <c r="M16">
        <f t="shared" si="10"/>
        <v>0.17732283464566931</v>
      </c>
      <c r="N16">
        <f t="shared" si="6"/>
        <v>0.26598425196850395</v>
      </c>
      <c r="O16">
        <f t="shared" si="6"/>
        <v>0.35464566929133862</v>
      </c>
      <c r="P16">
        <f t="shared" si="6"/>
        <v>0.44330708661417323</v>
      </c>
      <c r="Q16">
        <f t="shared" si="6"/>
        <v>0.5319685039370079</v>
      </c>
      <c r="R16">
        <f t="shared" si="6"/>
        <v>0.62062992125984251</v>
      </c>
      <c r="S16">
        <f t="shared" si="6"/>
        <v>0.70929133858267723</v>
      </c>
      <c r="T16">
        <f t="shared" si="6"/>
        <v>0.79795275590551185</v>
      </c>
      <c r="U16">
        <f t="shared" si="6"/>
        <v>0.88661417322834646</v>
      </c>
      <c r="V16">
        <f t="shared" si="6"/>
        <v>0.97527559055118118</v>
      </c>
      <c r="W16">
        <f t="shared" si="6"/>
        <v>1.0639370078740158</v>
      </c>
      <c r="X16">
        <f t="shared" si="6"/>
        <v>1.1525984251968504</v>
      </c>
      <c r="Y16">
        <f t="shared" si="6"/>
        <v>1.241259842519685</v>
      </c>
      <c r="Z16">
        <f t="shared" si="6"/>
        <v>1.3299212598425196</v>
      </c>
      <c r="AA16">
        <f t="shared" si="6"/>
        <v>1.4185826771653545</v>
      </c>
      <c r="AB16">
        <f t="shared" si="6"/>
        <v>1.5072440944881889</v>
      </c>
      <c r="AC16">
        <f t="shared" si="6"/>
        <v>1.5959055118110237</v>
      </c>
      <c r="AD16">
        <f t="shared" si="11"/>
        <v>1.6845669291338581</v>
      </c>
      <c r="AE16">
        <f t="shared" si="11"/>
        <v>1.7732283464566929</v>
      </c>
      <c r="AF16">
        <f t="shared" si="7"/>
        <v>1.8618897637795278</v>
      </c>
      <c r="AG16">
        <f t="shared" si="7"/>
        <v>1.9505511811023624</v>
      </c>
      <c r="AH16">
        <f t="shared" si="7"/>
        <v>2.0392125984251965</v>
      </c>
    </row>
    <row r="17" spans="2:34" x14ac:dyDescent="0.6">
      <c r="B17">
        <v>300</v>
      </c>
      <c r="C17">
        <v>7471.64</v>
      </c>
      <c r="D17">
        <v>0.25553999999999999</v>
      </c>
      <c r="F17">
        <f t="shared" si="8"/>
        <v>573</v>
      </c>
      <c r="G17">
        <f t="shared" si="4"/>
        <v>0.24615538754879998</v>
      </c>
      <c r="H17">
        <f t="shared" si="5"/>
        <v>0.90236220472440942</v>
      </c>
      <c r="I17">
        <f t="shared" si="9"/>
        <v>0.46776503858060214</v>
      </c>
      <c r="K17">
        <v>15</v>
      </c>
      <c r="L17">
        <f t="shared" si="10"/>
        <v>9.0236220472440953E-2</v>
      </c>
      <c r="M17">
        <f t="shared" si="10"/>
        <v>0.18047244094488191</v>
      </c>
      <c r="N17">
        <f t="shared" si="6"/>
        <v>0.2707086614173228</v>
      </c>
      <c r="O17">
        <f t="shared" si="6"/>
        <v>0.36094488188976381</v>
      </c>
      <c r="P17">
        <f t="shared" si="6"/>
        <v>0.45118110236220471</v>
      </c>
      <c r="Q17">
        <f t="shared" ref="Q17:AC23" si="12">$H17*Q$1</f>
        <v>0.54141732283464561</v>
      </c>
      <c r="R17">
        <f t="shared" si="12"/>
        <v>0.63165354330708656</v>
      </c>
      <c r="S17">
        <f t="shared" si="12"/>
        <v>0.72188976377952763</v>
      </c>
      <c r="T17">
        <f t="shared" si="12"/>
        <v>0.81212598425196847</v>
      </c>
      <c r="U17">
        <f t="shared" si="12"/>
        <v>0.90236220472440942</v>
      </c>
      <c r="V17">
        <f t="shared" si="12"/>
        <v>0.99259842519685049</v>
      </c>
      <c r="W17">
        <f t="shared" si="12"/>
        <v>1.0828346456692912</v>
      </c>
      <c r="X17">
        <f t="shared" si="12"/>
        <v>1.1730708661417324</v>
      </c>
      <c r="Y17">
        <f t="shared" si="12"/>
        <v>1.2633070866141731</v>
      </c>
      <c r="Z17">
        <f t="shared" si="12"/>
        <v>1.3535433070866141</v>
      </c>
      <c r="AA17">
        <f t="shared" si="12"/>
        <v>1.4437795275590553</v>
      </c>
      <c r="AB17">
        <f t="shared" si="12"/>
        <v>1.534015748031496</v>
      </c>
      <c r="AC17">
        <f t="shared" si="12"/>
        <v>1.6242519685039369</v>
      </c>
      <c r="AD17">
        <f t="shared" si="11"/>
        <v>1.7144881889763779</v>
      </c>
      <c r="AE17">
        <f t="shared" si="11"/>
        <v>1.8047244094488188</v>
      </c>
      <c r="AF17">
        <f t="shared" si="7"/>
        <v>1.8949606299212598</v>
      </c>
      <c r="AG17">
        <f t="shared" si="7"/>
        <v>1.985196850393701</v>
      </c>
      <c r="AH17">
        <f t="shared" si="7"/>
        <v>2.0754330708661417</v>
      </c>
    </row>
    <row r="18" spans="2:34" x14ac:dyDescent="0.6">
      <c r="B18">
        <v>310</v>
      </c>
      <c r="C18">
        <v>7470.44</v>
      </c>
      <c r="D18">
        <v>0.23466000000000001</v>
      </c>
      <c r="F18">
        <f t="shared" si="8"/>
        <v>583</v>
      </c>
      <c r="G18">
        <f t="shared" si="4"/>
        <v>0.2252753875488</v>
      </c>
      <c r="H18">
        <f t="shared" si="5"/>
        <v>0.91811023622047239</v>
      </c>
      <c r="I18">
        <f t="shared" si="9"/>
        <v>0.42808711764285023</v>
      </c>
      <c r="K18">
        <v>16</v>
      </c>
      <c r="L18">
        <f t="shared" si="10"/>
        <v>9.1811023622047239E-2</v>
      </c>
      <c r="M18">
        <f t="shared" si="10"/>
        <v>0.18362204724409448</v>
      </c>
      <c r="N18">
        <f t="shared" si="10"/>
        <v>0.27543307086614172</v>
      </c>
      <c r="O18">
        <f t="shared" si="10"/>
        <v>0.36724409448818895</v>
      </c>
      <c r="P18">
        <f t="shared" si="10"/>
        <v>0.45905511811023619</v>
      </c>
      <c r="Q18">
        <f t="shared" si="10"/>
        <v>0.55086614173228343</v>
      </c>
      <c r="R18">
        <f t="shared" si="10"/>
        <v>0.64267716535433062</v>
      </c>
      <c r="S18">
        <f t="shared" si="10"/>
        <v>0.73448818897637791</v>
      </c>
      <c r="T18">
        <f t="shared" si="10"/>
        <v>0.8262992125984252</v>
      </c>
      <c r="U18">
        <f t="shared" si="10"/>
        <v>0.91811023622047239</v>
      </c>
      <c r="V18">
        <f t="shared" si="10"/>
        <v>1.0099212598425198</v>
      </c>
      <c r="W18">
        <f t="shared" si="10"/>
        <v>1.1017322834645669</v>
      </c>
      <c r="X18">
        <f t="shared" si="10"/>
        <v>1.1935433070866142</v>
      </c>
      <c r="Y18">
        <f t="shared" si="10"/>
        <v>1.2853543307086612</v>
      </c>
      <c r="Z18">
        <f t="shared" si="10"/>
        <v>1.3771653543307085</v>
      </c>
      <c r="AA18">
        <f t="shared" si="10"/>
        <v>1.4689763779527558</v>
      </c>
      <c r="AB18">
        <f t="shared" si="12"/>
        <v>1.5607874015748031</v>
      </c>
      <c r="AC18">
        <f t="shared" si="12"/>
        <v>1.6525984251968504</v>
      </c>
      <c r="AD18">
        <f t="shared" si="11"/>
        <v>1.7444094488188975</v>
      </c>
      <c r="AE18">
        <f t="shared" si="11"/>
        <v>1.8362204724409448</v>
      </c>
      <c r="AF18">
        <f t="shared" si="7"/>
        <v>1.9280314960629921</v>
      </c>
      <c r="AG18">
        <f t="shared" si="7"/>
        <v>2.0198425196850396</v>
      </c>
      <c r="AH18">
        <f t="shared" si="7"/>
        <v>2.1116535433070864</v>
      </c>
    </row>
    <row r="19" spans="2:34" x14ac:dyDescent="0.6">
      <c r="B19">
        <v>320</v>
      </c>
      <c r="C19">
        <v>7472.36</v>
      </c>
      <c r="D19">
        <v>0.21643000000000001</v>
      </c>
      <c r="F19">
        <f t="shared" si="8"/>
        <v>593</v>
      </c>
      <c r="G19">
        <f t="shared" si="4"/>
        <v>0.2070453875488</v>
      </c>
      <c r="H19">
        <f t="shared" si="5"/>
        <v>0.93385826771653546</v>
      </c>
      <c r="I19">
        <f t="shared" si="9"/>
        <v>0.39344494816510994</v>
      </c>
      <c r="K19">
        <v>17</v>
      </c>
      <c r="L19">
        <f t="shared" si="10"/>
        <v>9.3385826771653552E-2</v>
      </c>
      <c r="M19">
        <f t="shared" si="10"/>
        <v>0.1867716535433071</v>
      </c>
      <c r="N19">
        <f t="shared" si="10"/>
        <v>0.28015748031496063</v>
      </c>
      <c r="O19">
        <f t="shared" si="10"/>
        <v>0.37354330708661421</v>
      </c>
      <c r="P19">
        <f t="shared" si="10"/>
        <v>0.46692913385826773</v>
      </c>
      <c r="Q19">
        <f t="shared" si="10"/>
        <v>0.56031496062992125</v>
      </c>
      <c r="R19">
        <f t="shared" si="10"/>
        <v>0.65370078740157478</v>
      </c>
      <c r="S19">
        <f t="shared" si="10"/>
        <v>0.74708661417322841</v>
      </c>
      <c r="T19">
        <f t="shared" si="10"/>
        <v>0.84047244094488194</v>
      </c>
      <c r="U19">
        <f t="shared" si="10"/>
        <v>0.93385826771653546</v>
      </c>
      <c r="V19">
        <f t="shared" si="10"/>
        <v>1.0272440944881891</v>
      </c>
      <c r="W19">
        <f t="shared" si="10"/>
        <v>1.1206299212598425</v>
      </c>
      <c r="X19">
        <f t="shared" si="10"/>
        <v>1.2140157480314961</v>
      </c>
      <c r="Y19">
        <f t="shared" si="10"/>
        <v>1.3074015748031496</v>
      </c>
      <c r="Z19">
        <f t="shared" si="10"/>
        <v>1.4007874015748032</v>
      </c>
      <c r="AA19">
        <f t="shared" si="10"/>
        <v>1.4941732283464568</v>
      </c>
      <c r="AB19">
        <f t="shared" si="12"/>
        <v>1.5875590551181102</v>
      </c>
      <c r="AC19">
        <f t="shared" si="12"/>
        <v>1.6809448818897639</v>
      </c>
      <c r="AD19">
        <f t="shared" si="11"/>
        <v>1.7743307086614173</v>
      </c>
      <c r="AE19">
        <f t="shared" si="11"/>
        <v>1.8677165354330709</v>
      </c>
      <c r="AF19">
        <f t="shared" si="11"/>
        <v>1.9611023622047246</v>
      </c>
      <c r="AG19">
        <f t="shared" si="11"/>
        <v>2.0544881889763782</v>
      </c>
      <c r="AH19">
        <f t="shared" si="11"/>
        <v>2.1478740157480316</v>
      </c>
    </row>
    <row r="20" spans="2:34" x14ac:dyDescent="0.6">
      <c r="B20">
        <v>330</v>
      </c>
      <c r="C20">
        <v>7470.68</v>
      </c>
      <c r="D20">
        <v>0.19361</v>
      </c>
      <c r="F20">
        <f t="shared" si="8"/>
        <v>603</v>
      </c>
      <c r="G20">
        <f t="shared" si="4"/>
        <v>0.1842253875488</v>
      </c>
      <c r="H20">
        <f t="shared" si="5"/>
        <v>0.94960629921259843</v>
      </c>
      <c r="I20">
        <f t="shared" si="9"/>
        <v>0.35008047710191553</v>
      </c>
      <c r="K20">
        <v>18</v>
      </c>
      <c r="L20">
        <f t="shared" si="10"/>
        <v>9.4960629921259851E-2</v>
      </c>
      <c r="M20">
        <f t="shared" si="10"/>
        <v>0.1899212598425197</v>
      </c>
      <c r="N20">
        <f t="shared" si="10"/>
        <v>0.28488188976377954</v>
      </c>
      <c r="O20">
        <f t="shared" si="10"/>
        <v>0.3798425196850394</v>
      </c>
      <c r="P20">
        <f t="shared" si="10"/>
        <v>0.47480314960629921</v>
      </c>
      <c r="Q20">
        <f t="shared" si="10"/>
        <v>0.56976377952755908</v>
      </c>
      <c r="R20">
        <f t="shared" si="10"/>
        <v>0.66472440944881883</v>
      </c>
      <c r="S20">
        <f t="shared" si="10"/>
        <v>0.75968503937007881</v>
      </c>
      <c r="T20">
        <f t="shared" si="10"/>
        <v>0.85464566929133856</v>
      </c>
      <c r="U20">
        <f t="shared" si="10"/>
        <v>0.94960629921259843</v>
      </c>
      <c r="V20">
        <f t="shared" si="10"/>
        <v>1.0445669291338584</v>
      </c>
      <c r="W20">
        <f t="shared" si="10"/>
        <v>1.1395275590551182</v>
      </c>
      <c r="X20">
        <f t="shared" si="10"/>
        <v>1.2344881889763779</v>
      </c>
      <c r="Y20">
        <f t="shared" si="10"/>
        <v>1.3294488188976377</v>
      </c>
      <c r="Z20">
        <f t="shared" si="10"/>
        <v>1.4244094488188976</v>
      </c>
      <c r="AA20">
        <f t="shared" si="10"/>
        <v>1.5193700787401576</v>
      </c>
      <c r="AB20">
        <f t="shared" si="12"/>
        <v>1.6143307086614174</v>
      </c>
      <c r="AC20">
        <f t="shared" si="12"/>
        <v>1.7092913385826771</v>
      </c>
      <c r="AD20">
        <f t="shared" si="11"/>
        <v>1.8042519685039369</v>
      </c>
      <c r="AE20">
        <f t="shared" si="11"/>
        <v>1.8992125984251969</v>
      </c>
      <c r="AF20">
        <f t="shared" si="11"/>
        <v>1.9941732283464568</v>
      </c>
      <c r="AG20">
        <f t="shared" si="11"/>
        <v>2.0891338582677168</v>
      </c>
      <c r="AH20">
        <f t="shared" si="11"/>
        <v>2.1840944881889763</v>
      </c>
    </row>
    <row r="21" spans="2:34" x14ac:dyDescent="0.6">
      <c r="B21">
        <v>340</v>
      </c>
      <c r="C21">
        <v>7471.16</v>
      </c>
      <c r="D21">
        <v>0.1646</v>
      </c>
      <c r="F21">
        <f t="shared" si="8"/>
        <v>613</v>
      </c>
      <c r="G21">
        <f t="shared" si="4"/>
        <v>0.15521538754879999</v>
      </c>
      <c r="H21">
        <f t="shared" si="5"/>
        <v>0.96535433070866139</v>
      </c>
      <c r="I21">
        <f t="shared" si="9"/>
        <v>0.29495325074156187</v>
      </c>
      <c r="K21">
        <v>19</v>
      </c>
      <c r="L21">
        <f t="shared" si="10"/>
        <v>9.653543307086615E-2</v>
      </c>
      <c r="M21">
        <f t="shared" si="10"/>
        <v>0.1930708661417323</v>
      </c>
      <c r="N21">
        <f t="shared" si="10"/>
        <v>0.28960629921259839</v>
      </c>
      <c r="O21">
        <f t="shared" si="10"/>
        <v>0.3861417322834646</v>
      </c>
      <c r="P21">
        <f t="shared" si="10"/>
        <v>0.4826771653543307</v>
      </c>
      <c r="Q21">
        <f t="shared" si="10"/>
        <v>0.57921259842519679</v>
      </c>
      <c r="R21">
        <f t="shared" si="10"/>
        <v>0.67574803149606288</v>
      </c>
      <c r="S21">
        <f t="shared" si="10"/>
        <v>0.7722834645669292</v>
      </c>
      <c r="T21">
        <f t="shared" si="10"/>
        <v>0.8688188976377953</v>
      </c>
      <c r="U21">
        <f t="shared" si="10"/>
        <v>0.96535433070866139</v>
      </c>
      <c r="V21">
        <f t="shared" si="10"/>
        <v>1.0618897637795277</v>
      </c>
      <c r="W21">
        <f t="shared" si="10"/>
        <v>1.1584251968503936</v>
      </c>
      <c r="X21">
        <f t="shared" si="10"/>
        <v>1.2549606299212599</v>
      </c>
      <c r="Y21">
        <f t="shared" si="10"/>
        <v>1.3514960629921258</v>
      </c>
      <c r="Z21">
        <f t="shared" si="10"/>
        <v>1.4480314960629921</v>
      </c>
      <c r="AA21">
        <f t="shared" si="10"/>
        <v>1.5445669291338584</v>
      </c>
      <c r="AB21">
        <f t="shared" si="12"/>
        <v>1.6411023622047243</v>
      </c>
      <c r="AC21">
        <f t="shared" si="12"/>
        <v>1.7376377952755906</v>
      </c>
      <c r="AD21">
        <f t="shared" si="11"/>
        <v>1.8341732283464565</v>
      </c>
      <c r="AE21">
        <f t="shared" si="11"/>
        <v>1.9307086614173228</v>
      </c>
      <c r="AF21">
        <f t="shared" si="11"/>
        <v>2.0272440944881889</v>
      </c>
      <c r="AG21">
        <f t="shared" si="11"/>
        <v>2.1237795275590554</v>
      </c>
      <c r="AH21">
        <f t="shared" si="11"/>
        <v>2.2203149606299211</v>
      </c>
    </row>
    <row r="22" spans="2:34" x14ac:dyDescent="0.6">
      <c r="B22">
        <v>350</v>
      </c>
      <c r="C22">
        <v>7473.33</v>
      </c>
      <c r="D22">
        <v>0.12089</v>
      </c>
      <c r="F22">
        <f t="shared" si="8"/>
        <v>623</v>
      </c>
      <c r="G22">
        <f t="shared" si="4"/>
        <v>0.1115053875488</v>
      </c>
      <c r="H22">
        <f t="shared" si="5"/>
        <v>0.98110236220472435</v>
      </c>
      <c r="I22">
        <f t="shared" si="9"/>
        <v>0.21189185590491741</v>
      </c>
      <c r="K22">
        <v>20</v>
      </c>
      <c r="L22">
        <f t="shared" si="10"/>
        <v>9.8110236220472435E-2</v>
      </c>
      <c r="M22">
        <f t="shared" si="10"/>
        <v>0.19622047244094487</v>
      </c>
      <c r="N22">
        <f t="shared" si="10"/>
        <v>0.29433070866141731</v>
      </c>
      <c r="O22">
        <f t="shared" si="10"/>
        <v>0.39244094488188974</v>
      </c>
      <c r="P22">
        <f t="shared" si="10"/>
        <v>0.49055118110236218</v>
      </c>
      <c r="Q22">
        <f t="shared" si="10"/>
        <v>0.58866141732283461</v>
      </c>
      <c r="R22">
        <f t="shared" si="10"/>
        <v>0.68677165354330705</v>
      </c>
      <c r="S22">
        <f t="shared" si="10"/>
        <v>0.78488188976377948</v>
      </c>
      <c r="T22">
        <f t="shared" si="10"/>
        <v>0.88299212598425192</v>
      </c>
      <c r="U22">
        <f t="shared" si="10"/>
        <v>0.98110236220472435</v>
      </c>
      <c r="V22">
        <f t="shared" si="10"/>
        <v>1.0792125984251968</v>
      </c>
      <c r="W22">
        <f t="shared" si="10"/>
        <v>1.1773228346456692</v>
      </c>
      <c r="X22">
        <f t="shared" si="10"/>
        <v>1.2754330708661417</v>
      </c>
      <c r="Y22">
        <f t="shared" si="10"/>
        <v>1.3735433070866141</v>
      </c>
      <c r="Z22">
        <f t="shared" si="10"/>
        <v>1.4716535433070865</v>
      </c>
      <c r="AA22">
        <f t="shared" si="10"/>
        <v>1.569763779527559</v>
      </c>
      <c r="AB22">
        <f t="shared" si="12"/>
        <v>1.6678740157480314</v>
      </c>
      <c r="AC22">
        <f t="shared" si="12"/>
        <v>1.7659842519685038</v>
      </c>
      <c r="AD22">
        <f t="shared" si="11"/>
        <v>1.8640944881889763</v>
      </c>
      <c r="AE22">
        <f t="shared" si="11"/>
        <v>1.9622047244094487</v>
      </c>
      <c r="AF22">
        <f t="shared" si="11"/>
        <v>2.0603149606299214</v>
      </c>
      <c r="AG22">
        <f t="shared" si="11"/>
        <v>2.1584251968503936</v>
      </c>
      <c r="AH22">
        <f t="shared" si="11"/>
        <v>2.2565354330708658</v>
      </c>
    </row>
    <row r="23" spans="2:34" x14ac:dyDescent="0.6">
      <c r="B23">
        <v>360</v>
      </c>
      <c r="C23">
        <v>7470.44</v>
      </c>
      <c r="D23">
        <v>1.7770000000000001E-2</v>
      </c>
      <c r="F23">
        <f t="shared" si="8"/>
        <v>633</v>
      </c>
      <c r="G23">
        <f t="shared" si="4"/>
        <v>8.3853875488000013E-3</v>
      </c>
      <c r="H23">
        <f t="shared" si="5"/>
        <v>0.99685039370078743</v>
      </c>
      <c r="I23">
        <f t="shared" si="9"/>
        <v>1.5934614185521837E-2</v>
      </c>
      <c r="K23">
        <v>21</v>
      </c>
      <c r="L23">
        <f t="shared" si="10"/>
        <v>9.9685039370078748E-2</v>
      </c>
      <c r="M23">
        <f t="shared" si="10"/>
        <v>0.1993700787401575</v>
      </c>
      <c r="N23">
        <f t="shared" si="10"/>
        <v>0.29905511811023622</v>
      </c>
      <c r="O23">
        <f t="shared" si="10"/>
        <v>0.39874015748031499</v>
      </c>
      <c r="P23">
        <f t="shared" si="10"/>
        <v>0.49842519685039371</v>
      </c>
      <c r="Q23">
        <f t="shared" si="10"/>
        <v>0.59811023622047244</v>
      </c>
      <c r="R23">
        <f t="shared" si="10"/>
        <v>0.69779527559055121</v>
      </c>
      <c r="S23">
        <f t="shared" si="10"/>
        <v>0.79748031496062999</v>
      </c>
      <c r="T23">
        <f t="shared" si="10"/>
        <v>0.89716535433070865</v>
      </c>
      <c r="U23">
        <f t="shared" si="10"/>
        <v>0.99685039370078743</v>
      </c>
      <c r="V23">
        <f t="shared" si="10"/>
        <v>1.0965354330708663</v>
      </c>
      <c r="W23">
        <f t="shared" si="10"/>
        <v>1.1962204724409449</v>
      </c>
      <c r="X23">
        <f t="shared" si="10"/>
        <v>1.2959055118110236</v>
      </c>
      <c r="Y23">
        <f t="shared" si="10"/>
        <v>1.3955905511811024</v>
      </c>
      <c r="Z23">
        <f t="shared" si="10"/>
        <v>1.4952755905511812</v>
      </c>
      <c r="AA23">
        <f t="shared" si="10"/>
        <v>1.59496062992126</v>
      </c>
      <c r="AB23">
        <f t="shared" si="12"/>
        <v>1.6946456692913385</v>
      </c>
      <c r="AC23">
        <f t="shared" si="12"/>
        <v>1.7943307086614173</v>
      </c>
      <c r="AD23">
        <f t="shared" si="11"/>
        <v>1.8940157480314961</v>
      </c>
      <c r="AE23">
        <f t="shared" si="11"/>
        <v>1.9937007874015749</v>
      </c>
      <c r="AF23">
        <f t="shared" si="11"/>
        <v>2.0933858267716539</v>
      </c>
      <c r="AG23">
        <f t="shared" si="11"/>
        <v>2.1930708661417326</v>
      </c>
      <c r="AH23">
        <f t="shared" si="11"/>
        <v>2.292755905511811</v>
      </c>
    </row>
    <row r="24" spans="2:34" x14ac:dyDescent="0.6">
      <c r="B24">
        <v>370</v>
      </c>
      <c r="C24">
        <v>7470.68</v>
      </c>
      <c r="D24">
        <v>1.5820000000000001E-2</v>
      </c>
      <c r="F24">
        <f t="shared" si="8"/>
        <v>643</v>
      </c>
      <c r="G24">
        <f t="shared" si="4"/>
        <v>6.435387548800001E-3</v>
      </c>
      <c r="H24">
        <f t="shared" si="5"/>
        <v>1.0125984251968505</v>
      </c>
      <c r="I24">
        <f t="shared" si="9"/>
        <v>1.2229061224381211E-2</v>
      </c>
    </row>
    <row r="25" spans="2:34" x14ac:dyDescent="0.6">
      <c r="B25">
        <v>380</v>
      </c>
      <c r="C25">
        <v>7469.71</v>
      </c>
      <c r="D25">
        <v>1.5520000000000001E-2</v>
      </c>
      <c r="F25">
        <f t="shared" si="8"/>
        <v>653</v>
      </c>
      <c r="G25">
        <f t="shared" si="4"/>
        <v>6.1353875488000011E-3</v>
      </c>
      <c r="H25">
        <f t="shared" si="5"/>
        <v>1.0283464566929135</v>
      </c>
      <c r="I25">
        <f t="shared" si="9"/>
        <v>1.1658976153436499E-2</v>
      </c>
      <c r="K25">
        <v>1</v>
      </c>
      <c r="L25">
        <v>2.1</v>
      </c>
      <c r="M25">
        <f>2*_xlfn.COTH(2*L25)-_xlfn.COTH(L25)</f>
        <v>0.9704519366134543</v>
      </c>
    </row>
    <row r="26" spans="2:34" x14ac:dyDescent="0.6">
      <c r="B26">
        <v>390</v>
      </c>
      <c r="C26">
        <v>7470.2</v>
      </c>
      <c r="D26">
        <v>1.5610000000000001E-2</v>
      </c>
      <c r="F26">
        <f t="shared" si="8"/>
        <v>663</v>
      </c>
      <c r="G26">
        <f t="shared" si="4"/>
        <v>6.2253875488000009E-3</v>
      </c>
      <c r="H26">
        <f t="shared" si="5"/>
        <v>1.0440944881889764</v>
      </c>
      <c r="I26">
        <f t="shared" si="9"/>
        <v>1.1830001674719912E-2</v>
      </c>
      <c r="K26">
        <v>2</v>
      </c>
      <c r="L26">
        <v>1.9</v>
      </c>
      <c r="M26">
        <f>2*_xlfn.COTH(2*L26)-_xlfn.COTH(L26)</f>
        <v>0.95623745812773886</v>
      </c>
    </row>
    <row r="27" spans="2:34" x14ac:dyDescent="0.6">
      <c r="B27">
        <v>400</v>
      </c>
      <c r="C27">
        <v>7470.2</v>
      </c>
      <c r="D27">
        <v>1.6619999999999999E-2</v>
      </c>
      <c r="F27">
        <f t="shared" si="8"/>
        <v>673</v>
      </c>
      <c r="G27">
        <f t="shared" si="4"/>
        <v>7.2353875487999996E-3</v>
      </c>
      <c r="H27">
        <f t="shared" si="5"/>
        <v>1.0598425196850394</v>
      </c>
      <c r="I27">
        <f t="shared" si="9"/>
        <v>1.3749288080233773E-2</v>
      </c>
      <c r="K27">
        <v>3</v>
      </c>
      <c r="L27">
        <v>1.7</v>
      </c>
      <c r="M27">
        <f t="shared" ref="M27:M43" si="13">2*_xlfn.COTH(2*L27)-_xlfn.COTH(L27)</f>
        <v>0.93540907060309886</v>
      </c>
    </row>
    <row r="28" spans="2:34" x14ac:dyDescent="0.6">
      <c r="C28">
        <f>(C3+C4+C5+C6+C7+C8+C9+C10+C11+C12+C13+C14+C15+C16+C17+C18+C19+C20+C21+C22+C23+C24+C25+C26+C27)/25</f>
        <v>7471.8252000000002</v>
      </c>
      <c r="K28">
        <v>4</v>
      </c>
      <c r="L28">
        <v>1.6</v>
      </c>
      <c r="M28">
        <f t="shared" si="13"/>
        <v>0.92166855440647111</v>
      </c>
    </row>
    <row r="29" spans="2:34" x14ac:dyDescent="0.6">
      <c r="H29" t="s">
        <v>8</v>
      </c>
      <c r="I29" t="s">
        <v>9</v>
      </c>
      <c r="K29">
        <v>5</v>
      </c>
      <c r="L29">
        <v>1.4</v>
      </c>
      <c r="M29">
        <f t="shared" si="13"/>
        <v>0.88535164820226253</v>
      </c>
    </row>
    <row r="30" spans="2:34" x14ac:dyDescent="0.6">
      <c r="H30">
        <f>G3/0.95</f>
        <v>0.52623725005136845</v>
      </c>
      <c r="I30">
        <v>635</v>
      </c>
      <c r="K30">
        <v>6</v>
      </c>
      <c r="L30">
        <v>1.2</v>
      </c>
      <c r="M30">
        <f t="shared" si="13"/>
        <v>0.83365460701215555</v>
      </c>
    </row>
    <row r="31" spans="2:34" x14ac:dyDescent="0.6">
      <c r="K31">
        <v>7</v>
      </c>
      <c r="L31">
        <v>1.1000000000000001</v>
      </c>
      <c r="M31">
        <f t="shared" si="13"/>
        <v>0.80049902176062959</v>
      </c>
    </row>
    <row r="32" spans="2:34" x14ac:dyDescent="0.6">
      <c r="K32">
        <v>8</v>
      </c>
      <c r="L32">
        <v>1</v>
      </c>
      <c r="M32">
        <f t="shared" si="13"/>
        <v>0.76159415595576441</v>
      </c>
    </row>
    <row r="33" spans="11:13" x14ac:dyDescent="0.6">
      <c r="K33">
        <v>10</v>
      </c>
      <c r="L33">
        <v>0.9</v>
      </c>
      <c r="M33">
        <f t="shared" si="13"/>
        <v>0.7162978701990248</v>
      </c>
    </row>
    <row r="34" spans="11:13" x14ac:dyDescent="0.6">
      <c r="K34">
        <v>12</v>
      </c>
      <c r="L34">
        <v>0.8</v>
      </c>
      <c r="M34">
        <f t="shared" si="13"/>
        <v>0.66403677026784913</v>
      </c>
    </row>
    <row r="35" spans="11:13" x14ac:dyDescent="0.6">
      <c r="K35">
        <v>13</v>
      </c>
      <c r="L35">
        <v>0.75</v>
      </c>
      <c r="M35">
        <f t="shared" si="13"/>
        <v>0.6351489523872873</v>
      </c>
    </row>
    <row r="36" spans="11:13" x14ac:dyDescent="0.6">
      <c r="K36">
        <v>14</v>
      </c>
      <c r="L36">
        <v>0.7</v>
      </c>
      <c r="M36">
        <f t="shared" si="13"/>
        <v>0.60436777711716405</v>
      </c>
    </row>
    <row r="37" spans="11:13" x14ac:dyDescent="0.6">
      <c r="K37">
        <v>15</v>
      </c>
      <c r="L37">
        <v>0.65</v>
      </c>
      <c r="M37">
        <f t="shared" si="13"/>
        <v>0.571669966085117</v>
      </c>
    </row>
    <row r="38" spans="11:13" x14ac:dyDescent="0.6">
      <c r="K38">
        <v>16</v>
      </c>
      <c r="L38">
        <v>0.6</v>
      </c>
      <c r="M38">
        <f t="shared" si="13"/>
        <v>0.53704956699803552</v>
      </c>
    </row>
    <row r="39" spans="11:13" x14ac:dyDescent="0.6">
      <c r="K39">
        <v>17</v>
      </c>
      <c r="L39">
        <v>0.55000000000000004</v>
      </c>
      <c r="M39">
        <f t="shared" si="13"/>
        <v>0.50052021119023493</v>
      </c>
    </row>
    <row r="40" spans="11:13" x14ac:dyDescent="0.6">
      <c r="K40">
        <v>18</v>
      </c>
      <c r="L40">
        <v>0.5</v>
      </c>
      <c r="M40">
        <f t="shared" si="13"/>
        <v>0.46211715726001001</v>
      </c>
    </row>
    <row r="41" spans="11:13" x14ac:dyDescent="0.6">
      <c r="K41">
        <v>19</v>
      </c>
      <c r="L41">
        <v>0.4</v>
      </c>
      <c r="M41">
        <f t="shared" si="13"/>
        <v>0.37994896225522545</v>
      </c>
    </row>
    <row r="42" spans="11:13" x14ac:dyDescent="0.6">
      <c r="K42">
        <v>20</v>
      </c>
      <c r="L42">
        <v>0.3</v>
      </c>
      <c r="M42">
        <f t="shared" si="13"/>
        <v>0.29131261245159079</v>
      </c>
    </row>
    <row r="43" spans="11:13" x14ac:dyDescent="0.6">
      <c r="K43">
        <v>21</v>
      </c>
      <c r="L43">
        <v>0.2</v>
      </c>
      <c r="M43">
        <f t="shared" si="13"/>
        <v>0.19737532022490445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8003-C30E-4400-ABF0-07A6D65DEBF4}">
  <dimension ref="A2:AY48"/>
  <sheetViews>
    <sheetView topLeftCell="A31" zoomScale="70" zoomScaleNormal="70" workbookViewId="0">
      <selection activeCell="C40" sqref="C40"/>
    </sheetView>
  </sheetViews>
  <sheetFormatPr defaultRowHeight="20" x14ac:dyDescent="0.6"/>
  <cols>
    <col min="11" max="11" width="19.23046875" customWidth="1"/>
    <col min="12" max="12" width="10.15234375" customWidth="1"/>
  </cols>
  <sheetData>
    <row r="2" spans="2:51" x14ac:dyDescent="0.6">
      <c r="B2" t="s">
        <v>6</v>
      </c>
      <c r="C2" t="s">
        <v>3</v>
      </c>
      <c r="D2" t="s">
        <v>4</v>
      </c>
      <c r="F2" t="s">
        <v>2</v>
      </c>
      <c r="G2" t="s">
        <v>7</v>
      </c>
      <c r="H2" t="s">
        <v>10</v>
      </c>
      <c r="I2" t="s">
        <v>11</v>
      </c>
      <c r="K2" t="s">
        <v>14</v>
      </c>
      <c r="L2">
        <v>0.1</v>
      </c>
      <c r="M2">
        <v>0.2</v>
      </c>
      <c r="N2">
        <v>0.3</v>
      </c>
      <c r="O2">
        <v>0.4</v>
      </c>
      <c r="P2">
        <v>0.5</v>
      </c>
      <c r="Q2">
        <v>0.6</v>
      </c>
      <c r="R2">
        <v>0.7</v>
      </c>
      <c r="S2">
        <v>0.8</v>
      </c>
      <c r="T2">
        <v>0.9</v>
      </c>
      <c r="U2">
        <v>1</v>
      </c>
      <c r="V2">
        <v>1.1000000000000001</v>
      </c>
      <c r="W2">
        <v>1.2</v>
      </c>
      <c r="X2">
        <v>1.3</v>
      </c>
      <c r="Y2">
        <v>1.4</v>
      </c>
      <c r="Z2">
        <v>1.5</v>
      </c>
      <c r="AA2">
        <v>1.6</v>
      </c>
      <c r="AB2">
        <v>1.7</v>
      </c>
      <c r="AC2">
        <v>1.8</v>
      </c>
      <c r="AD2">
        <v>1.9</v>
      </c>
      <c r="AE2">
        <v>2</v>
      </c>
      <c r="AF2">
        <v>2.1</v>
      </c>
      <c r="AG2">
        <v>2.2000000000000002</v>
      </c>
      <c r="AH2">
        <v>2.2999999999999998</v>
      </c>
      <c r="AI2">
        <v>2.4</v>
      </c>
      <c r="AJ2">
        <v>2.5</v>
      </c>
      <c r="AK2">
        <v>2.6</v>
      </c>
      <c r="AL2">
        <v>2.7</v>
      </c>
      <c r="AM2">
        <v>2.8</v>
      </c>
      <c r="AN2">
        <v>2.9</v>
      </c>
      <c r="AO2">
        <v>3</v>
      </c>
      <c r="AP2">
        <v>3.1</v>
      </c>
      <c r="AQ2">
        <v>3.2</v>
      </c>
      <c r="AR2">
        <v>3.3</v>
      </c>
      <c r="AS2">
        <v>3.4</v>
      </c>
      <c r="AT2">
        <v>3.5</v>
      </c>
      <c r="AU2">
        <v>3.6</v>
      </c>
      <c r="AV2">
        <v>3.7</v>
      </c>
      <c r="AW2">
        <v>3.8</v>
      </c>
      <c r="AX2">
        <v>3.9</v>
      </c>
      <c r="AY2">
        <v>4</v>
      </c>
    </row>
    <row r="3" spans="2:51" x14ac:dyDescent="0.6">
      <c r="B3">
        <v>23</v>
      </c>
      <c r="C3">
        <v>7473.57</v>
      </c>
      <c r="D3">
        <v>0.50931000000000004</v>
      </c>
      <c r="F3">
        <f>B3+273</f>
        <v>296</v>
      </c>
      <c r="G3">
        <f t="shared" ref="G3:G27" si="0">D3-(4*3.14*(10^-7)*7471.8252)</f>
        <v>0.49992538754880006</v>
      </c>
      <c r="H3">
        <f t="shared" ref="H3:H27" si="1">F3/$I$30</f>
        <v>0.46614173228346456</v>
      </c>
      <c r="I3">
        <f>G3/0.52623725</f>
        <v>0.950000000092734</v>
      </c>
      <c r="K3" t="s">
        <v>37</v>
      </c>
      <c r="L3">
        <f>3/2*_xlfn.COTH(3/2*L2)-1/2*_xlfn.COTH(1/2*L2)</f>
        <v>6.6555795755196101E-2</v>
      </c>
      <c r="M3">
        <f>3/2*_xlfn.COTH(3/2*M2)-1/2*_xlfn.COTH(1/2*M2)</f>
        <v>0.13245207935561609</v>
      </c>
      <c r="N3">
        <f t="shared" ref="N3:AE3" si="2">3/2*_xlfn.COTH(3/2*N2)-1/2*_xlfn.COTH(1/2*N2)</f>
        <v>0.19705733770494138</v>
      </c>
      <c r="O3">
        <f t="shared" si="2"/>
        <v>0.25979350036026316</v>
      </c>
      <c r="P3">
        <f t="shared" si="2"/>
        <v>0.32015666782980645</v>
      </c>
      <c r="Q3">
        <f t="shared" si="2"/>
        <v>0.37773166438414751</v>
      </c>
      <c r="R3">
        <f t="shared" si="2"/>
        <v>0.43219980492239896</v>
      </c>
      <c r="S3">
        <f t="shared" si="2"/>
        <v>0.48334009537243205</v>
      </c>
      <c r="T3">
        <f t="shared" si="2"/>
        <v>0.53102475576634167</v>
      </c>
      <c r="U3">
        <f t="shared" si="2"/>
        <v>0.57521038260444146</v>
      </c>
      <c r="V3">
        <f t="shared" si="2"/>
        <v>0.61592623580275463</v>
      </c>
      <c r="W3">
        <f t="shared" si="2"/>
        <v>0.65326108172844422</v>
      </c>
      <c r="X3">
        <f t="shared" si="2"/>
        <v>0.68734981427020558</v>
      </c>
      <c r="Y3">
        <f t="shared" si="2"/>
        <v>0.71836078458369668</v>
      </c>
      <c r="Z3">
        <f t="shared" si="2"/>
        <v>0.74648446131858837</v>
      </c>
      <c r="AA3">
        <f t="shared" si="2"/>
        <v>0.77192376238152638</v>
      </c>
      <c r="AB3">
        <f t="shared" si="2"/>
        <v>0.79488617209213397</v>
      </c>
      <c r="AC3">
        <f t="shared" si="2"/>
        <v>0.81557759248517425</v>
      </c>
      <c r="AD3">
        <f t="shared" si="2"/>
        <v>0.83419777130616068</v>
      </c>
      <c r="AE3">
        <f t="shared" si="2"/>
        <v>0.85093709222086766</v>
      </c>
      <c r="AF3">
        <f>3/2*_xlfn.COTH(3/2*AF2)-1/2*_xlfn.COTH(1/2*AF2)</f>
        <v>0.86597449280148531</v>
      </c>
      <c r="AG3">
        <f>3/2*_xlfn.COTH(3/2*AG2)-1/2*_xlfn.COTH(1/2*AG2)</f>
        <v>0.87947628119486443</v>
      </c>
      <c r="AH3">
        <f t="shared" ref="AH3" si="3">3/2*_xlfn.COTH(3/2*AH2)-1/2*_xlfn.COTH(1/2*AH2)</f>
        <v>0.89159564305928951</v>
      </c>
      <c r="AI3">
        <f t="shared" ref="AI3" si="4">3/2*_xlfn.COTH(3/2*AI2)-1/2*_xlfn.COTH(1/2*AI2)</f>
        <v>0.90247265874941418</v>
      </c>
      <c r="AJ3">
        <f t="shared" ref="AJ3" si="5">3/2*_xlfn.COTH(3/2*AJ2)-1/2*_xlfn.COTH(1/2*AJ2)</f>
        <v>0.91223468149140352</v>
      </c>
      <c r="AK3">
        <f t="shared" ref="AK3" si="6">3/2*_xlfn.COTH(3/2*AK2)-1/2*_xlfn.COTH(1/2*AK2)</f>
        <v>0.9209969570127069</v>
      </c>
      <c r="AL3">
        <f t="shared" ref="AL3" si="7">3/2*_xlfn.COTH(3/2*AL2)-1/2*_xlfn.COTH(1/2*AL2)</f>
        <v>0.92886339184907118</v>
      </c>
      <c r="AM3">
        <f t="shared" ref="AM3" si="8">3/2*_xlfn.COTH(3/2*AM2)-1/2*_xlfn.COTH(1/2*AM2)</f>
        <v>0.93592740047264811</v>
      </c>
      <c r="AN3">
        <f t="shared" ref="AN3" si="9">3/2*_xlfn.COTH(3/2*AN2)-1/2*_xlfn.COTH(1/2*AN2)</f>
        <v>0.94227278028448003</v>
      </c>
      <c r="AO3">
        <f t="shared" ref="AO3" si="10">3/2*_xlfn.COTH(3/2*AO2)-1/2*_xlfn.COTH(1/2*AO2)</f>
        <v>0.94797457861658252</v>
      </c>
      <c r="AP3">
        <f t="shared" ref="AP3" si="11">3/2*_xlfn.COTH(3/2*AP2)-1/2*_xlfn.COTH(1/2*AP2)</f>
        <v>0.95309992763002993</v>
      </c>
      <c r="AQ3">
        <f t="shared" ref="AQ3" si="12">3/2*_xlfn.COTH(3/2*AQ2)-1/2*_xlfn.COTH(1/2*AQ2)</f>
        <v>0.95770883189406064</v>
      </c>
      <c r="AR3">
        <f t="shared" ref="AR3" si="13">3/2*_xlfn.COTH(3/2*AR2)-1/2*_xlfn.COTH(1/2*AR2)</f>
        <v>0.96185490000706009</v>
      </c>
      <c r="AS3">
        <f t="shared" ref="AS3" si="14">3/2*_xlfn.COTH(3/2*AS2)-1/2*_xlfn.COTH(1/2*AS2)</f>
        <v>0.96558601635045771</v>
      </c>
      <c r="AT3">
        <f t="shared" ref="AT3" si="15">3/2*_xlfn.COTH(3/2*AT2)-1/2*_xlfn.COTH(1/2*AT2)</f>
        <v>0.96894495236508038</v>
      </c>
      <c r="AU3">
        <f t="shared" ref="AU3" si="16">3/2*_xlfn.COTH(3/2*AU2)-1/2*_xlfn.COTH(1/2*AU2)</f>
        <v>0.97196991895141904</v>
      </c>
      <c r="AV3">
        <f t="shared" ref="AV3" si="17">3/2*_xlfn.COTH(3/2*AV2)-1/2*_xlfn.COTH(1/2*AV2)</f>
        <v>0.97469506299976849</v>
      </c>
      <c r="AW3">
        <f t="shared" ref="AW3" si="18">3/2*_xlfn.COTH(3/2*AW2)-1/2*_xlfn.COTH(1/2*AW2)</f>
        <v>0.97715091187345926</v>
      </c>
      <c r="AX3">
        <f t="shared" ref="AX3" si="19">3/2*_xlfn.COTH(3/2*AX2)-1/2*_xlfn.COTH(1/2*AX2)</f>
        <v>0.97936477006867184</v>
      </c>
      <c r="AY3">
        <f t="shared" ref="AY3" si="20">3/2*_xlfn.COTH(3/2*AY2)-1/2*_xlfn.COTH(1/2*AY2)</f>
        <v>0.9813610723865408</v>
      </c>
    </row>
    <row r="4" spans="2:51" x14ac:dyDescent="0.6">
      <c r="B4">
        <v>50</v>
      </c>
      <c r="C4">
        <v>7472.12</v>
      </c>
      <c r="D4">
        <v>0.51463999999999999</v>
      </c>
      <c r="F4">
        <f t="shared" ref="F4:F27" si="21">B4+273</f>
        <v>323</v>
      </c>
      <c r="G4">
        <f t="shared" si="0"/>
        <v>0.50525538754879995</v>
      </c>
      <c r="H4">
        <f t="shared" si="1"/>
        <v>0.50866141732283465</v>
      </c>
      <c r="I4">
        <f t="shared" ref="I4:I27" si="22">G4/0.52623725</f>
        <v>0.96012851151985146</v>
      </c>
      <c r="K4">
        <v>1</v>
      </c>
      <c r="L4">
        <f>2/3*$H3*L$2</f>
        <v>3.1076115485564305E-2</v>
      </c>
      <c r="M4">
        <f>2/3*$H3*M$2</f>
        <v>6.2152230971128611E-2</v>
      </c>
      <c r="N4">
        <f t="shared" ref="N4:AE4" si="23">2/3*$H3*N$2</f>
        <v>9.3228346456692909E-2</v>
      </c>
      <c r="O4">
        <f t="shared" si="23"/>
        <v>0.12430446194225722</v>
      </c>
      <c r="P4">
        <f t="shared" si="23"/>
        <v>0.15538057742782152</v>
      </c>
      <c r="Q4">
        <f t="shared" si="23"/>
        <v>0.18645669291338582</v>
      </c>
      <c r="R4">
        <f t="shared" si="23"/>
        <v>0.21753280839895012</v>
      </c>
      <c r="S4">
        <f t="shared" si="23"/>
        <v>0.24860892388451444</v>
      </c>
      <c r="T4">
        <f t="shared" si="23"/>
        <v>0.27968503937007877</v>
      </c>
      <c r="U4">
        <f t="shared" si="23"/>
        <v>0.31076115485564304</v>
      </c>
      <c r="V4">
        <f t="shared" si="23"/>
        <v>0.34183727034120737</v>
      </c>
      <c r="W4">
        <f t="shared" si="23"/>
        <v>0.37291338582677164</v>
      </c>
      <c r="X4">
        <f t="shared" si="23"/>
        <v>0.40398950131233596</v>
      </c>
      <c r="Y4">
        <f t="shared" si="23"/>
        <v>0.43506561679790023</v>
      </c>
      <c r="Z4">
        <f t="shared" si="23"/>
        <v>0.46614173228346456</v>
      </c>
      <c r="AA4">
        <f t="shared" si="23"/>
        <v>0.49721784776902889</v>
      </c>
      <c r="AB4">
        <f t="shared" si="23"/>
        <v>0.5282939632545931</v>
      </c>
      <c r="AC4">
        <f t="shared" si="23"/>
        <v>0.55937007874015754</v>
      </c>
      <c r="AD4">
        <f t="shared" si="23"/>
        <v>0.59044619422572175</v>
      </c>
      <c r="AE4">
        <f t="shared" si="23"/>
        <v>0.62152230971128608</v>
      </c>
      <c r="AF4">
        <f>2/3*$H3*AF$2</f>
        <v>0.65259842519685041</v>
      </c>
      <c r="AG4">
        <f>2/3*$H3*AG$2</f>
        <v>0.68367454068241473</v>
      </c>
      <c r="AH4">
        <f t="shared" ref="AH4" si="24">2/3*$H3*AH$2</f>
        <v>0.71475065616797895</v>
      </c>
      <c r="AI4">
        <f t="shared" ref="AI4" si="25">2/3*$H3*AI$2</f>
        <v>0.74582677165354327</v>
      </c>
      <c r="AJ4">
        <f t="shared" ref="AJ4" si="26">2/3*$H3*AJ$2</f>
        <v>0.7769028871391076</v>
      </c>
      <c r="AK4">
        <f t="shared" ref="AK4" si="27">2/3*$H3*AK$2</f>
        <v>0.80797900262467193</v>
      </c>
      <c r="AL4">
        <f t="shared" ref="AL4" si="28">2/3*$H3*AL$2</f>
        <v>0.83905511811023625</v>
      </c>
      <c r="AM4">
        <f t="shared" ref="AM4" si="29">2/3*$H3*AM$2</f>
        <v>0.87013123359580047</v>
      </c>
      <c r="AN4">
        <f t="shared" ref="AN4" si="30">2/3*$H3*AN$2</f>
        <v>0.90120734908136479</v>
      </c>
      <c r="AO4">
        <f t="shared" ref="AO4" si="31">2/3*$H3*AO$2</f>
        <v>0.93228346456692912</v>
      </c>
      <c r="AP4">
        <f t="shared" ref="AP4" si="32">2/3*$H3*AP$2</f>
        <v>0.96335958005249345</v>
      </c>
      <c r="AQ4">
        <f t="shared" ref="AQ4" si="33">2/3*$H3*AQ$2</f>
        <v>0.99443569553805777</v>
      </c>
      <c r="AR4">
        <f t="shared" ref="AR4" si="34">2/3*$H3*AR$2</f>
        <v>1.0255118110236219</v>
      </c>
      <c r="AS4">
        <f t="shared" ref="AS4" si="35">2/3*$H3*AS$2</f>
        <v>1.0565879265091862</v>
      </c>
      <c r="AT4">
        <f t="shared" ref="AT4" si="36">2/3*$H3*AT$2</f>
        <v>1.0876640419947505</v>
      </c>
      <c r="AU4">
        <f t="shared" ref="AU4" si="37">2/3*$H3*AU$2</f>
        <v>1.1187401574803151</v>
      </c>
      <c r="AV4">
        <f t="shared" ref="AV4" si="38">2/3*$H3*AV$2</f>
        <v>1.1498162729658794</v>
      </c>
      <c r="AW4">
        <f t="shared" ref="AW4" si="39">2/3*$H3*AW$2</f>
        <v>1.1808923884514435</v>
      </c>
      <c r="AX4">
        <f t="shared" ref="AX4" si="40">2/3*$H3*AX$2</f>
        <v>1.2119685039370078</v>
      </c>
      <c r="AY4">
        <f t="shared" ref="AY4" si="41">2/3*$H3*AY$2</f>
        <v>1.2430446194225722</v>
      </c>
    </row>
    <row r="5" spans="2:51" x14ac:dyDescent="0.6">
      <c r="B5">
        <v>80</v>
      </c>
      <c r="C5">
        <v>7473.33</v>
      </c>
      <c r="D5">
        <v>0.51036999999999999</v>
      </c>
      <c r="F5">
        <f t="shared" si="21"/>
        <v>353</v>
      </c>
      <c r="G5">
        <f t="shared" si="0"/>
        <v>0.50098538754879995</v>
      </c>
      <c r="H5">
        <f t="shared" si="1"/>
        <v>0.55590551181102366</v>
      </c>
      <c r="I5">
        <f t="shared" si="22"/>
        <v>0.95201430067673842</v>
      </c>
      <c r="K5">
        <v>2</v>
      </c>
      <c r="L5">
        <f t="shared" ref="L5:L27" si="42">2/3*$H4*L$2</f>
        <v>3.391076115485564E-2</v>
      </c>
      <c r="M5">
        <f t="shared" ref="M5:M27" si="43">2/3*$H4*M$2</f>
        <v>6.782152230971128E-2</v>
      </c>
      <c r="N5">
        <f t="shared" ref="N5:N27" si="44">2/3*$H4*N$2</f>
        <v>0.10173228346456692</v>
      </c>
      <c r="O5">
        <f t="shared" ref="O5:O27" si="45">2/3*$H4*O$2</f>
        <v>0.13564304461942256</v>
      </c>
      <c r="P5">
        <f t="shared" ref="P5:P27" si="46">2/3*$H4*P$2</f>
        <v>0.1695538057742782</v>
      </c>
      <c r="Q5">
        <f t="shared" ref="Q5:Q27" si="47">2/3*$H4*Q$2</f>
        <v>0.20346456692913384</v>
      </c>
      <c r="R5">
        <f t="shared" ref="R5:R27" si="48">2/3*$H4*R$2</f>
        <v>0.23737532808398945</v>
      </c>
      <c r="S5">
        <f t="shared" ref="S5:S27" si="49">2/3*$H4*S$2</f>
        <v>0.27128608923884512</v>
      </c>
      <c r="T5">
        <f t="shared" ref="T5:T27" si="50">2/3*$H4*T$2</f>
        <v>0.30519685039370076</v>
      </c>
      <c r="U5">
        <f t="shared" ref="U5:U27" si="51">2/3*$H4*U$2</f>
        <v>0.3391076115485564</v>
      </c>
      <c r="V5">
        <f t="shared" ref="V5:V27" si="52">2/3*$H4*V$2</f>
        <v>0.37301837270341209</v>
      </c>
      <c r="W5">
        <f t="shared" ref="W5:W27" si="53">2/3*$H4*W$2</f>
        <v>0.40692913385826768</v>
      </c>
      <c r="X5">
        <f t="shared" ref="X5:X27" si="54">2/3*$H4*X$2</f>
        <v>0.44083989501312332</v>
      </c>
      <c r="Y5">
        <f t="shared" ref="Y5:Y27" si="55">2/3*$H4*Y$2</f>
        <v>0.4747506561679789</v>
      </c>
      <c r="Z5">
        <f t="shared" ref="Z5:Z27" si="56">2/3*$H4*Z$2</f>
        <v>0.50866141732283454</v>
      </c>
      <c r="AA5">
        <f t="shared" ref="AA5:AA27" si="57">2/3*$H4*AA$2</f>
        <v>0.54257217847769024</v>
      </c>
      <c r="AB5">
        <f t="shared" ref="AB5:AB27" si="58">2/3*$H4*AB$2</f>
        <v>0.57648293963254582</v>
      </c>
      <c r="AC5">
        <f t="shared" ref="AC5:AC27" si="59">2/3*$H4*AC$2</f>
        <v>0.61039370078740152</v>
      </c>
      <c r="AD5">
        <f t="shared" ref="AD5:AD27" si="60">2/3*$H4*AD$2</f>
        <v>0.6443044619422571</v>
      </c>
      <c r="AE5">
        <f t="shared" ref="AE5:AE27" si="61">2/3*$H4*AE$2</f>
        <v>0.6782152230971128</v>
      </c>
      <c r="AF5">
        <f t="shared" ref="AF5:AF27" si="62">2/3*$H4*AF$2</f>
        <v>0.71212598425196849</v>
      </c>
      <c r="AG5">
        <f t="shared" ref="AG5:AG27" si="63">2/3*$H4*AG$2</f>
        <v>0.74603674540682419</v>
      </c>
      <c r="AH5">
        <f t="shared" ref="AH5:AH27" si="64">2/3*$H4*AH$2</f>
        <v>0.77994750656167966</v>
      </c>
      <c r="AI5">
        <f t="shared" ref="AI5:AI27" si="65">2/3*$H4*AI$2</f>
        <v>0.81385826771653536</v>
      </c>
      <c r="AJ5">
        <f t="shared" ref="AJ5:AJ27" si="66">2/3*$H4*AJ$2</f>
        <v>0.84776902887139105</v>
      </c>
      <c r="AK5">
        <f t="shared" ref="AK5:AK27" si="67">2/3*$H4*AK$2</f>
        <v>0.88167979002624663</v>
      </c>
      <c r="AL5">
        <f t="shared" ref="AL5:AL27" si="68">2/3*$H4*AL$2</f>
        <v>0.91559055118110233</v>
      </c>
      <c r="AM5">
        <f t="shared" ref="AM5:AM27" si="69">2/3*$H4*AM$2</f>
        <v>0.9495013123359578</v>
      </c>
      <c r="AN5">
        <f t="shared" ref="AN5:AN27" si="70">2/3*$H4*AN$2</f>
        <v>0.9834120734908135</v>
      </c>
      <c r="AO5">
        <f t="shared" ref="AO5:AO27" si="71">2/3*$H4*AO$2</f>
        <v>1.0173228346456691</v>
      </c>
      <c r="AP5">
        <f t="shared" ref="AP5:AP27" si="72">2/3*$H4*AP$2</f>
        <v>1.0512335958005248</v>
      </c>
      <c r="AQ5">
        <f t="shared" ref="AQ5:AQ27" si="73">2/3*$H4*AQ$2</f>
        <v>1.0851443569553805</v>
      </c>
      <c r="AR5">
        <f t="shared" ref="AR5:AR27" si="74">2/3*$H4*AR$2</f>
        <v>1.1190551181102359</v>
      </c>
      <c r="AS5">
        <f t="shared" ref="AS5:AS27" si="75">2/3*$H4*AS$2</f>
        <v>1.1529658792650916</v>
      </c>
      <c r="AT5">
        <f t="shared" ref="AT5:AT27" si="76">2/3*$H4*AT$2</f>
        <v>1.1868766404199473</v>
      </c>
      <c r="AU5">
        <f t="shared" ref="AU5:AU27" si="77">2/3*$H4*AU$2</f>
        <v>1.220787401574803</v>
      </c>
      <c r="AV5">
        <f t="shared" ref="AV5:AV27" si="78">2/3*$H4*AV$2</f>
        <v>1.2546981627296587</v>
      </c>
      <c r="AW5">
        <f t="shared" ref="AW5:AW27" si="79">2/3*$H4*AW$2</f>
        <v>1.2886089238845142</v>
      </c>
      <c r="AX5">
        <f t="shared" ref="AX5:AX27" si="80">2/3*$H4*AX$2</f>
        <v>1.3225196850393699</v>
      </c>
      <c r="AY5">
        <f t="shared" ref="AY5:AY27" si="81">2/3*$H4*AY$2</f>
        <v>1.3564304461942256</v>
      </c>
    </row>
    <row r="6" spans="2:51" x14ac:dyDescent="0.6">
      <c r="B6">
        <v>110</v>
      </c>
      <c r="C6">
        <v>7472.12</v>
      </c>
      <c r="D6">
        <v>0.50087999999999999</v>
      </c>
      <c r="F6">
        <f t="shared" si="21"/>
        <v>383</v>
      </c>
      <c r="G6">
        <f t="shared" si="0"/>
        <v>0.49149538754880001</v>
      </c>
      <c r="H6">
        <f t="shared" si="1"/>
        <v>0.60314960629921255</v>
      </c>
      <c r="I6">
        <f t="shared" si="22"/>
        <v>0.93398060959918749</v>
      </c>
      <c r="K6">
        <v>3</v>
      </c>
      <c r="L6">
        <f t="shared" si="42"/>
        <v>3.7060367454068245E-2</v>
      </c>
      <c r="M6">
        <f t="shared" si="43"/>
        <v>7.412073490813649E-2</v>
      </c>
      <c r="N6">
        <f t="shared" si="44"/>
        <v>0.11118110236220473</v>
      </c>
      <c r="O6">
        <f t="shared" si="45"/>
        <v>0.14824146981627298</v>
      </c>
      <c r="P6">
        <f t="shared" si="46"/>
        <v>0.18530183727034122</v>
      </c>
      <c r="Q6">
        <f t="shared" si="47"/>
        <v>0.22236220472440946</v>
      </c>
      <c r="R6">
        <f t="shared" si="48"/>
        <v>0.2594225721784777</v>
      </c>
      <c r="S6">
        <f t="shared" si="49"/>
        <v>0.29648293963254596</v>
      </c>
      <c r="T6">
        <f t="shared" si="50"/>
        <v>0.33354330708661423</v>
      </c>
      <c r="U6">
        <f t="shared" si="51"/>
        <v>0.37060367454068244</v>
      </c>
      <c r="V6">
        <f t="shared" si="52"/>
        <v>0.4076640419947507</v>
      </c>
      <c r="W6">
        <f t="shared" si="53"/>
        <v>0.44472440944881891</v>
      </c>
      <c r="X6">
        <f t="shared" si="54"/>
        <v>0.48178477690288718</v>
      </c>
      <c r="Y6">
        <f t="shared" si="55"/>
        <v>0.51884514435695539</v>
      </c>
      <c r="Z6">
        <f t="shared" si="56"/>
        <v>0.55590551181102366</v>
      </c>
      <c r="AA6">
        <f t="shared" si="57"/>
        <v>0.59296587926509192</v>
      </c>
      <c r="AB6">
        <f t="shared" si="58"/>
        <v>0.63002624671916008</v>
      </c>
      <c r="AC6">
        <f t="shared" si="59"/>
        <v>0.66708661417322845</v>
      </c>
      <c r="AD6">
        <f t="shared" si="60"/>
        <v>0.70414698162729661</v>
      </c>
      <c r="AE6">
        <f t="shared" si="61"/>
        <v>0.74120734908136487</v>
      </c>
      <c r="AF6">
        <f t="shared" si="62"/>
        <v>0.77826771653543314</v>
      </c>
      <c r="AG6">
        <f t="shared" si="63"/>
        <v>0.81532808398950141</v>
      </c>
      <c r="AH6">
        <f t="shared" si="64"/>
        <v>0.85238845144356956</v>
      </c>
      <c r="AI6">
        <f t="shared" si="65"/>
        <v>0.88944881889763783</v>
      </c>
      <c r="AJ6">
        <f t="shared" si="66"/>
        <v>0.92650918635170609</v>
      </c>
      <c r="AK6">
        <f t="shared" si="67"/>
        <v>0.96356955380577436</v>
      </c>
      <c r="AL6">
        <f t="shared" si="68"/>
        <v>1.0006299212598426</v>
      </c>
      <c r="AM6">
        <f t="shared" si="69"/>
        <v>1.0376902887139108</v>
      </c>
      <c r="AN6">
        <f t="shared" si="70"/>
        <v>1.0747506561679789</v>
      </c>
      <c r="AO6">
        <f t="shared" si="71"/>
        <v>1.1118110236220473</v>
      </c>
      <c r="AP6">
        <f t="shared" si="72"/>
        <v>1.1488713910761157</v>
      </c>
      <c r="AQ6">
        <f t="shared" si="73"/>
        <v>1.1859317585301838</v>
      </c>
      <c r="AR6">
        <f t="shared" si="74"/>
        <v>1.222992125984252</v>
      </c>
      <c r="AS6">
        <f t="shared" si="75"/>
        <v>1.2600524934383202</v>
      </c>
      <c r="AT6">
        <f t="shared" si="76"/>
        <v>1.2971128608923885</v>
      </c>
      <c r="AU6">
        <f t="shared" si="77"/>
        <v>1.3341732283464569</v>
      </c>
      <c r="AV6">
        <f t="shared" si="78"/>
        <v>1.3712335958005251</v>
      </c>
      <c r="AW6">
        <f t="shared" si="79"/>
        <v>1.4082939632545932</v>
      </c>
      <c r="AX6">
        <f t="shared" si="80"/>
        <v>1.4453543307086614</v>
      </c>
      <c r="AY6">
        <f t="shared" si="81"/>
        <v>1.4824146981627297</v>
      </c>
    </row>
    <row r="7" spans="2:51" x14ac:dyDescent="0.6">
      <c r="B7">
        <v>140</v>
      </c>
      <c r="C7">
        <v>7473.09</v>
      </c>
      <c r="D7">
        <v>0.48714000000000002</v>
      </c>
      <c r="F7">
        <f t="shared" si="21"/>
        <v>413</v>
      </c>
      <c r="G7">
        <f t="shared" si="0"/>
        <v>0.47775538754880004</v>
      </c>
      <c r="H7">
        <f t="shared" si="1"/>
        <v>0.65039370078740155</v>
      </c>
      <c r="I7">
        <f t="shared" si="22"/>
        <v>0.90787071334991976</v>
      </c>
      <c r="K7">
        <v>4</v>
      </c>
      <c r="L7">
        <f t="shared" si="42"/>
        <v>4.0209973753280837E-2</v>
      </c>
      <c r="M7">
        <f t="shared" si="43"/>
        <v>8.0419947506561673E-2</v>
      </c>
      <c r="N7">
        <f t="shared" si="44"/>
        <v>0.12062992125984251</v>
      </c>
      <c r="O7">
        <f t="shared" si="45"/>
        <v>0.16083989501312335</v>
      </c>
      <c r="P7">
        <f t="shared" si="46"/>
        <v>0.20104986876640418</v>
      </c>
      <c r="Q7">
        <f t="shared" si="47"/>
        <v>0.24125984251968502</v>
      </c>
      <c r="R7">
        <f t="shared" si="48"/>
        <v>0.28146981627296586</v>
      </c>
      <c r="S7">
        <f t="shared" si="49"/>
        <v>0.32167979002624669</v>
      </c>
      <c r="T7">
        <f t="shared" si="50"/>
        <v>0.36188976377952753</v>
      </c>
      <c r="U7">
        <f t="shared" si="51"/>
        <v>0.40209973753280837</v>
      </c>
      <c r="V7">
        <f t="shared" si="52"/>
        <v>0.44230971128608926</v>
      </c>
      <c r="W7">
        <f t="shared" si="53"/>
        <v>0.48251968503937004</v>
      </c>
      <c r="X7">
        <f t="shared" si="54"/>
        <v>0.52272965879265088</v>
      </c>
      <c r="Y7">
        <f t="shared" si="55"/>
        <v>0.56293963254593171</v>
      </c>
      <c r="Z7">
        <f t="shared" si="56"/>
        <v>0.60314960629921255</v>
      </c>
      <c r="AA7">
        <f t="shared" si="57"/>
        <v>0.64335958005249338</v>
      </c>
      <c r="AB7">
        <f t="shared" si="58"/>
        <v>0.68356955380577422</v>
      </c>
      <c r="AC7">
        <f t="shared" si="59"/>
        <v>0.72377952755905506</v>
      </c>
      <c r="AD7">
        <f t="shared" si="60"/>
        <v>0.76398950131233589</v>
      </c>
      <c r="AE7">
        <f t="shared" si="61"/>
        <v>0.80419947506561673</v>
      </c>
      <c r="AF7">
        <f t="shared" si="62"/>
        <v>0.84440944881889757</v>
      </c>
      <c r="AG7">
        <f t="shared" si="63"/>
        <v>0.88461942257217852</v>
      </c>
      <c r="AH7">
        <f t="shared" si="64"/>
        <v>0.92482939632545913</v>
      </c>
      <c r="AI7">
        <f t="shared" si="65"/>
        <v>0.96503937007874008</v>
      </c>
      <c r="AJ7">
        <f t="shared" si="66"/>
        <v>1.0052493438320209</v>
      </c>
      <c r="AK7">
        <f t="shared" si="67"/>
        <v>1.0454593175853018</v>
      </c>
      <c r="AL7">
        <f t="shared" si="68"/>
        <v>1.0856692913385826</v>
      </c>
      <c r="AM7">
        <f t="shared" si="69"/>
        <v>1.1258792650918634</v>
      </c>
      <c r="AN7">
        <f t="shared" si="70"/>
        <v>1.1660892388451443</v>
      </c>
      <c r="AO7">
        <f t="shared" si="71"/>
        <v>1.2062992125984251</v>
      </c>
      <c r="AP7">
        <f t="shared" si="72"/>
        <v>1.2465091863517059</v>
      </c>
      <c r="AQ7">
        <f t="shared" si="73"/>
        <v>1.2867191601049868</v>
      </c>
      <c r="AR7">
        <f t="shared" si="74"/>
        <v>1.3269291338582676</v>
      </c>
      <c r="AS7">
        <f t="shared" si="75"/>
        <v>1.3671391076115484</v>
      </c>
      <c r="AT7">
        <f t="shared" si="76"/>
        <v>1.4073490813648293</v>
      </c>
      <c r="AU7">
        <f t="shared" si="77"/>
        <v>1.4475590551181101</v>
      </c>
      <c r="AV7">
        <f t="shared" si="78"/>
        <v>1.487769028871391</v>
      </c>
      <c r="AW7">
        <f t="shared" si="79"/>
        <v>1.5279790026246718</v>
      </c>
      <c r="AX7">
        <f t="shared" si="80"/>
        <v>1.5681889763779526</v>
      </c>
      <c r="AY7">
        <f t="shared" si="81"/>
        <v>1.6083989501312335</v>
      </c>
    </row>
    <row r="8" spans="2:51" x14ac:dyDescent="0.6">
      <c r="B8">
        <v>170</v>
      </c>
      <c r="C8">
        <v>7473.33</v>
      </c>
      <c r="D8">
        <v>0.46024999999999999</v>
      </c>
      <c r="F8">
        <f t="shared" si="21"/>
        <v>443</v>
      </c>
      <c r="G8">
        <f t="shared" si="0"/>
        <v>0.45086538754880001</v>
      </c>
      <c r="H8">
        <f t="shared" si="1"/>
        <v>0.69763779527559056</v>
      </c>
      <c r="I8">
        <f t="shared" si="22"/>
        <v>0.85677208815757533</v>
      </c>
      <c r="K8">
        <v>5</v>
      </c>
      <c r="L8">
        <f t="shared" si="42"/>
        <v>4.3359580052493435E-2</v>
      </c>
      <c r="M8">
        <f t="shared" si="43"/>
        <v>8.671916010498687E-2</v>
      </c>
      <c r="N8">
        <f t="shared" si="44"/>
        <v>0.1300787401574803</v>
      </c>
      <c r="O8">
        <f t="shared" si="45"/>
        <v>0.17343832020997374</v>
      </c>
      <c r="P8">
        <f t="shared" si="46"/>
        <v>0.21679790026246717</v>
      </c>
      <c r="Q8">
        <f t="shared" si="47"/>
        <v>0.26015748031496061</v>
      </c>
      <c r="R8">
        <f t="shared" si="48"/>
        <v>0.30351706036745402</v>
      </c>
      <c r="S8">
        <f t="shared" si="49"/>
        <v>0.34687664041994748</v>
      </c>
      <c r="T8">
        <f t="shared" si="50"/>
        <v>0.39023622047244094</v>
      </c>
      <c r="U8">
        <f t="shared" si="51"/>
        <v>0.43359580052493435</v>
      </c>
      <c r="V8">
        <f t="shared" si="52"/>
        <v>0.47695538057742781</v>
      </c>
      <c r="W8">
        <f t="shared" si="53"/>
        <v>0.52031496062992122</v>
      </c>
      <c r="X8">
        <f t="shared" si="54"/>
        <v>0.56367454068241463</v>
      </c>
      <c r="Y8">
        <f t="shared" si="55"/>
        <v>0.60703412073490803</v>
      </c>
      <c r="Z8">
        <f t="shared" si="56"/>
        <v>0.65039370078740155</v>
      </c>
      <c r="AA8">
        <f t="shared" si="57"/>
        <v>0.69375328083989496</v>
      </c>
      <c r="AB8">
        <f t="shared" si="58"/>
        <v>0.73711286089238837</v>
      </c>
      <c r="AC8">
        <f t="shared" si="59"/>
        <v>0.78047244094488188</v>
      </c>
      <c r="AD8">
        <f t="shared" si="60"/>
        <v>0.82383202099737518</v>
      </c>
      <c r="AE8">
        <f t="shared" si="61"/>
        <v>0.8671916010498687</v>
      </c>
      <c r="AF8">
        <f t="shared" si="62"/>
        <v>0.91055118110236222</v>
      </c>
      <c r="AG8">
        <f t="shared" si="63"/>
        <v>0.95391076115485562</v>
      </c>
      <c r="AH8">
        <f t="shared" si="64"/>
        <v>0.99727034120734892</v>
      </c>
      <c r="AI8">
        <f t="shared" si="65"/>
        <v>1.0406299212598424</v>
      </c>
      <c r="AJ8">
        <f t="shared" si="66"/>
        <v>1.083989501312336</v>
      </c>
      <c r="AK8">
        <f t="shared" si="67"/>
        <v>1.1273490813648293</v>
      </c>
      <c r="AL8">
        <f t="shared" si="68"/>
        <v>1.1707086614173228</v>
      </c>
      <c r="AM8">
        <f t="shared" si="69"/>
        <v>1.2140682414698161</v>
      </c>
      <c r="AN8">
        <f t="shared" si="70"/>
        <v>1.2574278215223096</v>
      </c>
      <c r="AO8">
        <f t="shared" si="71"/>
        <v>1.3007874015748031</v>
      </c>
      <c r="AP8">
        <f t="shared" si="72"/>
        <v>1.3441469816272966</v>
      </c>
      <c r="AQ8">
        <f t="shared" si="73"/>
        <v>1.3875065616797899</v>
      </c>
      <c r="AR8">
        <f t="shared" si="74"/>
        <v>1.4308661417322832</v>
      </c>
      <c r="AS8">
        <f t="shared" si="75"/>
        <v>1.4742257217847767</v>
      </c>
      <c r="AT8">
        <f t="shared" si="76"/>
        <v>1.5175853018372703</v>
      </c>
      <c r="AU8">
        <f t="shared" si="77"/>
        <v>1.5609448818897638</v>
      </c>
      <c r="AV8">
        <f t="shared" si="78"/>
        <v>1.6043044619422571</v>
      </c>
      <c r="AW8">
        <f t="shared" si="79"/>
        <v>1.6476640419947504</v>
      </c>
      <c r="AX8">
        <f t="shared" si="80"/>
        <v>1.6910236220472439</v>
      </c>
      <c r="AY8">
        <f t="shared" si="81"/>
        <v>1.7343832020997374</v>
      </c>
    </row>
    <row r="9" spans="2:51" x14ac:dyDescent="0.6">
      <c r="B9">
        <v>200</v>
      </c>
      <c r="C9">
        <v>7473.09</v>
      </c>
      <c r="D9">
        <v>0.41575000000000001</v>
      </c>
      <c r="F9">
        <f t="shared" si="21"/>
        <v>473</v>
      </c>
      <c r="G9">
        <f t="shared" si="0"/>
        <v>0.40636538754880003</v>
      </c>
      <c r="H9">
        <f t="shared" si="1"/>
        <v>0.74488188976377956</v>
      </c>
      <c r="I9">
        <f t="shared" si="22"/>
        <v>0.7722094693007765</v>
      </c>
      <c r="K9">
        <v>6</v>
      </c>
      <c r="L9">
        <f t="shared" si="42"/>
        <v>4.6509186351706033E-2</v>
      </c>
      <c r="M9">
        <f t="shared" si="43"/>
        <v>9.3018372703412067E-2</v>
      </c>
      <c r="N9">
        <f t="shared" si="44"/>
        <v>0.1395275590551181</v>
      </c>
      <c r="O9">
        <f t="shared" si="45"/>
        <v>0.18603674540682413</v>
      </c>
      <c r="P9">
        <f t="shared" si="46"/>
        <v>0.23254593175853017</v>
      </c>
      <c r="Q9">
        <f t="shared" si="47"/>
        <v>0.2790551181102362</v>
      </c>
      <c r="R9">
        <f t="shared" si="48"/>
        <v>0.32556430446194223</v>
      </c>
      <c r="S9">
        <f t="shared" si="49"/>
        <v>0.37207349081364827</v>
      </c>
      <c r="T9">
        <f t="shared" si="50"/>
        <v>0.4185826771653543</v>
      </c>
      <c r="U9">
        <f t="shared" si="51"/>
        <v>0.46509186351706033</v>
      </c>
      <c r="V9">
        <f t="shared" si="52"/>
        <v>0.51160104986876642</v>
      </c>
      <c r="W9">
        <f t="shared" si="53"/>
        <v>0.5581102362204724</v>
      </c>
      <c r="X9">
        <f t="shared" si="54"/>
        <v>0.60461942257217849</v>
      </c>
      <c r="Y9">
        <f t="shared" si="55"/>
        <v>0.65112860892388447</v>
      </c>
      <c r="Z9">
        <f t="shared" si="56"/>
        <v>0.69763779527559056</v>
      </c>
      <c r="AA9">
        <f t="shared" si="57"/>
        <v>0.74414698162729653</v>
      </c>
      <c r="AB9">
        <f t="shared" si="58"/>
        <v>0.79065616797900251</v>
      </c>
      <c r="AC9">
        <f t="shared" si="59"/>
        <v>0.8371653543307086</v>
      </c>
      <c r="AD9">
        <f t="shared" si="60"/>
        <v>0.88367454068241458</v>
      </c>
      <c r="AE9">
        <f t="shared" si="61"/>
        <v>0.93018372703412067</v>
      </c>
      <c r="AF9">
        <f t="shared" si="62"/>
        <v>0.97669291338582676</v>
      </c>
      <c r="AG9">
        <f t="shared" si="63"/>
        <v>1.0232020997375328</v>
      </c>
      <c r="AH9">
        <f t="shared" si="64"/>
        <v>1.0697112860892386</v>
      </c>
      <c r="AI9">
        <f t="shared" si="65"/>
        <v>1.1162204724409448</v>
      </c>
      <c r="AJ9">
        <f t="shared" si="66"/>
        <v>1.1627296587926508</v>
      </c>
      <c r="AK9">
        <f t="shared" si="67"/>
        <v>1.209238845144357</v>
      </c>
      <c r="AL9">
        <f t="shared" si="68"/>
        <v>1.255748031496063</v>
      </c>
      <c r="AM9">
        <f t="shared" si="69"/>
        <v>1.3022572178477689</v>
      </c>
      <c r="AN9">
        <f t="shared" si="70"/>
        <v>1.3487664041994749</v>
      </c>
      <c r="AO9">
        <f t="shared" si="71"/>
        <v>1.3952755905511811</v>
      </c>
      <c r="AP9">
        <f t="shared" si="72"/>
        <v>1.4417847769028871</v>
      </c>
      <c r="AQ9">
        <f t="shared" si="73"/>
        <v>1.4882939632545931</v>
      </c>
      <c r="AR9">
        <f t="shared" si="74"/>
        <v>1.534803149606299</v>
      </c>
      <c r="AS9">
        <f t="shared" si="75"/>
        <v>1.581312335958005</v>
      </c>
      <c r="AT9">
        <f t="shared" si="76"/>
        <v>1.6278215223097112</v>
      </c>
      <c r="AU9">
        <f t="shared" si="77"/>
        <v>1.6743307086614172</v>
      </c>
      <c r="AV9">
        <f t="shared" si="78"/>
        <v>1.7208398950131234</v>
      </c>
      <c r="AW9">
        <f t="shared" si="79"/>
        <v>1.7673490813648292</v>
      </c>
      <c r="AX9">
        <f t="shared" si="80"/>
        <v>1.8138582677165354</v>
      </c>
      <c r="AY9">
        <f t="shared" si="81"/>
        <v>1.8603674540682413</v>
      </c>
    </row>
    <row r="10" spans="2:51" x14ac:dyDescent="0.6">
      <c r="B10">
        <v>230</v>
      </c>
      <c r="C10">
        <v>7472.6</v>
      </c>
      <c r="D10">
        <v>0.37280999999999997</v>
      </c>
      <c r="F10">
        <f t="shared" si="21"/>
        <v>503</v>
      </c>
      <c r="G10">
        <f t="shared" si="0"/>
        <v>0.36342538754879999</v>
      </c>
      <c r="H10">
        <f t="shared" si="1"/>
        <v>0.79212598425196845</v>
      </c>
      <c r="I10">
        <f t="shared" si="22"/>
        <v>0.69061129281289002</v>
      </c>
      <c r="K10">
        <v>7</v>
      </c>
      <c r="L10">
        <f t="shared" si="42"/>
        <v>4.9658792650918639E-2</v>
      </c>
      <c r="M10">
        <f t="shared" si="43"/>
        <v>9.9317585301837277E-2</v>
      </c>
      <c r="N10">
        <f t="shared" si="44"/>
        <v>0.1489763779527559</v>
      </c>
      <c r="O10">
        <f t="shared" si="45"/>
        <v>0.19863517060367455</v>
      </c>
      <c r="P10">
        <f t="shared" si="46"/>
        <v>0.24829396325459319</v>
      </c>
      <c r="Q10">
        <f t="shared" si="47"/>
        <v>0.29795275590551179</v>
      </c>
      <c r="R10">
        <f t="shared" si="48"/>
        <v>0.34761154855643045</v>
      </c>
      <c r="S10">
        <f t="shared" si="49"/>
        <v>0.39727034120734911</v>
      </c>
      <c r="T10">
        <f t="shared" si="50"/>
        <v>0.44692913385826777</v>
      </c>
      <c r="U10">
        <f t="shared" si="51"/>
        <v>0.49658792650918637</v>
      </c>
      <c r="V10">
        <f t="shared" si="52"/>
        <v>0.54624671916010503</v>
      </c>
      <c r="W10">
        <f t="shared" si="53"/>
        <v>0.59590551181102358</v>
      </c>
      <c r="X10">
        <f t="shared" si="54"/>
        <v>0.64556430446194235</v>
      </c>
      <c r="Y10">
        <f t="shared" si="55"/>
        <v>0.6952230971128609</v>
      </c>
      <c r="Z10">
        <f t="shared" si="56"/>
        <v>0.74488188976377956</v>
      </c>
      <c r="AA10">
        <f t="shared" si="57"/>
        <v>0.79454068241469822</v>
      </c>
      <c r="AB10">
        <f t="shared" si="58"/>
        <v>0.84419947506561677</v>
      </c>
      <c r="AC10">
        <f t="shared" si="59"/>
        <v>0.89385826771653554</v>
      </c>
      <c r="AD10">
        <f t="shared" si="60"/>
        <v>0.94351706036745409</v>
      </c>
      <c r="AE10">
        <f t="shared" si="61"/>
        <v>0.99317585301837275</v>
      </c>
      <c r="AF10">
        <f t="shared" si="62"/>
        <v>1.0428346456692914</v>
      </c>
      <c r="AG10">
        <f t="shared" si="63"/>
        <v>1.0924934383202101</v>
      </c>
      <c r="AH10">
        <f t="shared" si="64"/>
        <v>1.1421522309711285</v>
      </c>
      <c r="AI10">
        <f t="shared" si="65"/>
        <v>1.1918110236220472</v>
      </c>
      <c r="AJ10">
        <f t="shared" si="66"/>
        <v>1.241469816272966</v>
      </c>
      <c r="AK10">
        <f t="shared" si="67"/>
        <v>1.2911286089238847</v>
      </c>
      <c r="AL10">
        <f t="shared" si="68"/>
        <v>1.3407874015748034</v>
      </c>
      <c r="AM10">
        <f t="shared" si="69"/>
        <v>1.3904461942257218</v>
      </c>
      <c r="AN10">
        <f t="shared" si="70"/>
        <v>1.4401049868766405</v>
      </c>
      <c r="AO10">
        <f t="shared" si="71"/>
        <v>1.4897637795275591</v>
      </c>
      <c r="AP10">
        <f t="shared" si="72"/>
        <v>1.5394225721784778</v>
      </c>
      <c r="AQ10">
        <f t="shared" si="73"/>
        <v>1.5890813648293964</v>
      </c>
      <c r="AR10">
        <f t="shared" si="74"/>
        <v>1.6387401574803149</v>
      </c>
      <c r="AS10">
        <f t="shared" si="75"/>
        <v>1.6883989501312335</v>
      </c>
      <c r="AT10">
        <f t="shared" si="76"/>
        <v>1.7380577427821522</v>
      </c>
      <c r="AU10">
        <f t="shared" si="77"/>
        <v>1.7877165354330711</v>
      </c>
      <c r="AV10">
        <f t="shared" si="78"/>
        <v>1.8373753280839897</v>
      </c>
      <c r="AW10">
        <f t="shared" si="79"/>
        <v>1.8870341207349082</v>
      </c>
      <c r="AX10">
        <f t="shared" si="80"/>
        <v>1.9366929133858268</v>
      </c>
      <c r="AY10">
        <f t="shared" si="81"/>
        <v>1.9863517060367455</v>
      </c>
    </row>
    <row r="11" spans="2:51" x14ac:dyDescent="0.6">
      <c r="B11">
        <v>240</v>
      </c>
      <c r="C11">
        <v>7470.68</v>
      </c>
      <c r="D11">
        <v>0.35669000000000001</v>
      </c>
      <c r="F11">
        <f t="shared" si="21"/>
        <v>513</v>
      </c>
      <c r="G11">
        <f t="shared" si="0"/>
        <v>0.34730538754880003</v>
      </c>
      <c r="H11">
        <f t="shared" si="1"/>
        <v>0.80787401574803153</v>
      </c>
      <c r="I11">
        <f t="shared" si="22"/>
        <v>0.65997872166746085</v>
      </c>
      <c r="K11">
        <v>8</v>
      </c>
      <c r="L11">
        <f t="shared" si="42"/>
        <v>5.280839895013123E-2</v>
      </c>
      <c r="M11">
        <f t="shared" si="43"/>
        <v>0.10561679790026246</v>
      </c>
      <c r="N11">
        <f t="shared" si="44"/>
        <v>0.15842519685039369</v>
      </c>
      <c r="O11">
        <f t="shared" si="45"/>
        <v>0.21123359580052492</v>
      </c>
      <c r="P11">
        <f t="shared" si="46"/>
        <v>0.26404199475065615</v>
      </c>
      <c r="Q11">
        <f t="shared" si="47"/>
        <v>0.31685039370078738</v>
      </c>
      <c r="R11">
        <f t="shared" si="48"/>
        <v>0.36965879265091861</v>
      </c>
      <c r="S11">
        <f t="shared" si="49"/>
        <v>0.42246719160104984</v>
      </c>
      <c r="T11">
        <f t="shared" si="50"/>
        <v>0.47527559055118107</v>
      </c>
      <c r="U11">
        <f t="shared" si="51"/>
        <v>0.5280839895013123</v>
      </c>
      <c r="V11">
        <f t="shared" si="52"/>
        <v>0.58089238845144353</v>
      </c>
      <c r="W11">
        <f t="shared" si="53"/>
        <v>0.63370078740157476</v>
      </c>
      <c r="X11">
        <f t="shared" si="54"/>
        <v>0.68650918635170599</v>
      </c>
      <c r="Y11">
        <f t="shared" si="55"/>
        <v>0.73931758530183722</v>
      </c>
      <c r="Z11">
        <f t="shared" si="56"/>
        <v>0.79212598425196845</v>
      </c>
      <c r="AA11">
        <f t="shared" si="57"/>
        <v>0.84493438320209968</v>
      </c>
      <c r="AB11">
        <f t="shared" si="58"/>
        <v>0.89774278215223091</v>
      </c>
      <c r="AC11">
        <f t="shared" si="59"/>
        <v>0.95055118110236214</v>
      </c>
      <c r="AD11">
        <f t="shared" si="60"/>
        <v>1.0033595800524933</v>
      </c>
      <c r="AE11">
        <f t="shared" si="61"/>
        <v>1.0561679790026246</v>
      </c>
      <c r="AF11">
        <f t="shared" si="62"/>
        <v>1.1089763779527559</v>
      </c>
      <c r="AG11">
        <f t="shared" si="63"/>
        <v>1.1617847769028871</v>
      </c>
      <c r="AH11">
        <f t="shared" si="64"/>
        <v>1.2145931758530182</v>
      </c>
      <c r="AI11">
        <f t="shared" si="65"/>
        <v>1.2674015748031495</v>
      </c>
      <c r="AJ11">
        <f t="shared" si="66"/>
        <v>1.3202099737532809</v>
      </c>
      <c r="AK11">
        <f t="shared" si="67"/>
        <v>1.373018372703412</v>
      </c>
      <c r="AL11">
        <f t="shared" si="68"/>
        <v>1.4258267716535433</v>
      </c>
      <c r="AM11">
        <f t="shared" si="69"/>
        <v>1.4786351706036744</v>
      </c>
      <c r="AN11">
        <f t="shared" si="70"/>
        <v>1.5314435695538056</v>
      </c>
      <c r="AO11">
        <f t="shared" si="71"/>
        <v>1.5842519685039369</v>
      </c>
      <c r="AP11">
        <f t="shared" si="72"/>
        <v>1.6370603674540682</v>
      </c>
      <c r="AQ11">
        <f t="shared" si="73"/>
        <v>1.6898687664041994</v>
      </c>
      <c r="AR11">
        <f t="shared" si="74"/>
        <v>1.7426771653543305</v>
      </c>
      <c r="AS11">
        <f t="shared" si="75"/>
        <v>1.7954855643044618</v>
      </c>
      <c r="AT11">
        <f t="shared" si="76"/>
        <v>1.8482939632545929</v>
      </c>
      <c r="AU11">
        <f t="shared" si="77"/>
        <v>1.9011023622047243</v>
      </c>
      <c r="AV11">
        <f t="shared" si="78"/>
        <v>1.9539107611548556</v>
      </c>
      <c r="AW11">
        <f t="shared" si="79"/>
        <v>2.0067191601049865</v>
      </c>
      <c r="AX11">
        <f t="shared" si="80"/>
        <v>2.0595275590551179</v>
      </c>
      <c r="AY11">
        <f t="shared" si="81"/>
        <v>2.1123359580052492</v>
      </c>
    </row>
    <row r="12" spans="2:51" x14ac:dyDescent="0.6">
      <c r="B12">
        <v>250</v>
      </c>
      <c r="C12">
        <v>7473.33</v>
      </c>
      <c r="D12">
        <v>0.33905000000000002</v>
      </c>
      <c r="F12">
        <f t="shared" si="21"/>
        <v>523</v>
      </c>
      <c r="G12">
        <f t="shared" si="0"/>
        <v>0.32966538754880004</v>
      </c>
      <c r="H12">
        <f t="shared" si="1"/>
        <v>0.82362204724409449</v>
      </c>
      <c r="I12">
        <f t="shared" si="22"/>
        <v>0.62645771949591189</v>
      </c>
      <c r="K12">
        <v>9</v>
      </c>
      <c r="L12">
        <f t="shared" si="42"/>
        <v>5.3858267716535436E-2</v>
      </c>
      <c r="M12">
        <f t="shared" si="43"/>
        <v>0.10771653543307087</v>
      </c>
      <c r="N12">
        <f t="shared" si="44"/>
        <v>0.16157480314960629</v>
      </c>
      <c r="O12">
        <f t="shared" si="45"/>
        <v>0.21543307086614175</v>
      </c>
      <c r="P12">
        <f t="shared" si="46"/>
        <v>0.26929133858267718</v>
      </c>
      <c r="Q12">
        <f t="shared" si="47"/>
        <v>0.32314960629921258</v>
      </c>
      <c r="R12">
        <f t="shared" si="48"/>
        <v>0.37700787401574803</v>
      </c>
      <c r="S12">
        <f t="shared" si="49"/>
        <v>0.43086614173228349</v>
      </c>
      <c r="T12">
        <f t="shared" si="50"/>
        <v>0.48472440944881895</v>
      </c>
      <c r="U12">
        <f t="shared" si="51"/>
        <v>0.53858267716535435</v>
      </c>
      <c r="V12">
        <f t="shared" si="52"/>
        <v>0.59244094488188981</v>
      </c>
      <c r="W12">
        <f t="shared" si="53"/>
        <v>0.64629921259842515</v>
      </c>
      <c r="X12">
        <f t="shared" si="54"/>
        <v>0.70015748031496072</v>
      </c>
      <c r="Y12">
        <f t="shared" si="55"/>
        <v>0.75401574803149607</v>
      </c>
      <c r="Z12">
        <f t="shared" si="56"/>
        <v>0.80787401574803153</v>
      </c>
      <c r="AA12">
        <f t="shared" si="57"/>
        <v>0.86173228346456698</v>
      </c>
      <c r="AB12">
        <f t="shared" si="58"/>
        <v>0.91559055118110233</v>
      </c>
      <c r="AC12">
        <f t="shared" si="59"/>
        <v>0.9694488188976379</v>
      </c>
      <c r="AD12">
        <f t="shared" si="60"/>
        <v>1.0233070866141731</v>
      </c>
      <c r="AE12">
        <f t="shared" si="61"/>
        <v>1.0771653543307087</v>
      </c>
      <c r="AF12">
        <f>2/3*$H11*AF$2</f>
        <v>1.1310236220472443</v>
      </c>
      <c r="AG12">
        <f t="shared" si="63"/>
        <v>1.1848818897637796</v>
      </c>
      <c r="AH12">
        <f t="shared" si="64"/>
        <v>1.238740157480315</v>
      </c>
      <c r="AI12">
        <f t="shared" si="65"/>
        <v>1.2925984251968503</v>
      </c>
      <c r="AJ12">
        <f t="shared" si="66"/>
        <v>1.3464566929133859</v>
      </c>
      <c r="AK12">
        <f t="shared" si="67"/>
        <v>1.4003149606299214</v>
      </c>
      <c r="AL12">
        <f t="shared" si="68"/>
        <v>1.4541732283464568</v>
      </c>
      <c r="AM12">
        <f t="shared" si="69"/>
        <v>1.5080314960629921</v>
      </c>
      <c r="AN12">
        <f t="shared" si="70"/>
        <v>1.5618897637795275</v>
      </c>
      <c r="AO12">
        <f t="shared" si="71"/>
        <v>1.6157480314960631</v>
      </c>
      <c r="AP12">
        <f t="shared" si="72"/>
        <v>1.6696062992125986</v>
      </c>
      <c r="AQ12">
        <f t="shared" si="73"/>
        <v>1.723464566929134</v>
      </c>
      <c r="AR12">
        <f t="shared" si="74"/>
        <v>1.7773228346456693</v>
      </c>
      <c r="AS12">
        <f t="shared" si="75"/>
        <v>1.8311811023622047</v>
      </c>
      <c r="AT12">
        <f t="shared" si="76"/>
        <v>1.8850393700787402</v>
      </c>
      <c r="AU12">
        <f t="shared" si="77"/>
        <v>1.9388976377952758</v>
      </c>
      <c r="AV12">
        <f t="shared" si="78"/>
        <v>1.9927559055118111</v>
      </c>
      <c r="AW12">
        <f t="shared" si="79"/>
        <v>2.0466141732283463</v>
      </c>
      <c r="AX12">
        <f t="shared" si="80"/>
        <v>2.1004724409448818</v>
      </c>
      <c r="AY12">
        <f t="shared" si="81"/>
        <v>2.1543307086614174</v>
      </c>
    </row>
    <row r="13" spans="2:51" x14ac:dyDescent="0.6">
      <c r="B13">
        <v>260</v>
      </c>
      <c r="C13">
        <v>7471.88</v>
      </c>
      <c r="D13">
        <v>0.32251000000000002</v>
      </c>
      <c r="F13">
        <f t="shared" si="21"/>
        <v>533</v>
      </c>
      <c r="G13">
        <f t="shared" si="0"/>
        <v>0.31312538754880004</v>
      </c>
      <c r="H13">
        <f t="shared" si="1"/>
        <v>0.83937007874015745</v>
      </c>
      <c r="I13">
        <f t="shared" si="22"/>
        <v>0.59502702925116013</v>
      </c>
      <c r="K13">
        <v>10</v>
      </c>
      <c r="L13">
        <f t="shared" si="42"/>
        <v>5.4908136482939629E-2</v>
      </c>
      <c r="M13">
        <f t="shared" si="43"/>
        <v>0.10981627296587926</v>
      </c>
      <c r="N13">
        <f t="shared" si="44"/>
        <v>0.16472440944881889</v>
      </c>
      <c r="O13">
        <f t="shared" si="45"/>
        <v>0.21963254593175852</v>
      </c>
      <c r="P13">
        <f t="shared" si="46"/>
        <v>0.27454068241469815</v>
      </c>
      <c r="Q13">
        <f t="shared" si="47"/>
        <v>0.32944881889763777</v>
      </c>
      <c r="R13">
        <f t="shared" si="48"/>
        <v>0.3843569553805774</v>
      </c>
      <c r="S13">
        <f t="shared" si="49"/>
        <v>0.43926509186351703</v>
      </c>
      <c r="T13">
        <f t="shared" si="50"/>
        <v>0.49417322834645666</v>
      </c>
      <c r="U13">
        <f t="shared" si="51"/>
        <v>0.54908136482939629</v>
      </c>
      <c r="V13">
        <f t="shared" si="52"/>
        <v>0.60398950131233597</v>
      </c>
      <c r="W13">
        <f t="shared" si="53"/>
        <v>0.65889763779527555</v>
      </c>
      <c r="X13">
        <f t="shared" si="54"/>
        <v>0.71380577427821523</v>
      </c>
      <c r="Y13">
        <f t="shared" si="55"/>
        <v>0.76871391076115481</v>
      </c>
      <c r="Z13">
        <f t="shared" si="56"/>
        <v>0.82362204724409449</v>
      </c>
      <c r="AA13">
        <f t="shared" si="57"/>
        <v>0.87853018372703406</v>
      </c>
      <c r="AB13">
        <f t="shared" si="58"/>
        <v>0.93343832020997364</v>
      </c>
      <c r="AC13">
        <f t="shared" si="59"/>
        <v>0.98834645669291332</v>
      </c>
      <c r="AD13">
        <f t="shared" si="60"/>
        <v>1.043254593175853</v>
      </c>
      <c r="AE13">
        <f t="shared" si="61"/>
        <v>1.0981627296587926</v>
      </c>
      <c r="AF13">
        <f t="shared" si="62"/>
        <v>1.1530708661417322</v>
      </c>
      <c r="AG13">
        <f t="shared" si="63"/>
        <v>1.2079790026246719</v>
      </c>
      <c r="AH13">
        <f t="shared" si="64"/>
        <v>1.2628871391076113</v>
      </c>
      <c r="AI13">
        <f t="shared" si="65"/>
        <v>1.3177952755905511</v>
      </c>
      <c r="AJ13">
        <f t="shared" si="66"/>
        <v>1.3727034120734907</v>
      </c>
      <c r="AK13">
        <f t="shared" si="67"/>
        <v>1.4276115485564305</v>
      </c>
      <c r="AL13">
        <f t="shared" si="68"/>
        <v>1.48251968503937</v>
      </c>
      <c r="AM13">
        <f t="shared" si="69"/>
        <v>1.5374278215223096</v>
      </c>
      <c r="AN13">
        <f t="shared" si="70"/>
        <v>1.5923359580052492</v>
      </c>
      <c r="AO13">
        <f t="shared" si="71"/>
        <v>1.647244094488189</v>
      </c>
      <c r="AP13">
        <f t="shared" si="72"/>
        <v>1.7021522309711286</v>
      </c>
      <c r="AQ13">
        <f t="shared" si="73"/>
        <v>1.7570603674540681</v>
      </c>
      <c r="AR13">
        <f t="shared" si="74"/>
        <v>1.8119685039370077</v>
      </c>
      <c r="AS13">
        <f t="shared" si="75"/>
        <v>1.8668766404199473</v>
      </c>
      <c r="AT13">
        <f t="shared" si="76"/>
        <v>1.9217847769028871</v>
      </c>
      <c r="AU13">
        <f t="shared" si="77"/>
        <v>1.9766929133858266</v>
      </c>
      <c r="AV13">
        <f t="shared" si="78"/>
        <v>2.0316010498687662</v>
      </c>
      <c r="AW13">
        <f t="shared" si="79"/>
        <v>2.086509186351706</v>
      </c>
      <c r="AX13">
        <f t="shared" si="80"/>
        <v>2.1414173228346454</v>
      </c>
      <c r="AY13">
        <f t="shared" si="81"/>
        <v>2.1963254593175852</v>
      </c>
    </row>
    <row r="14" spans="2:51" x14ac:dyDescent="0.6">
      <c r="B14">
        <v>270</v>
      </c>
      <c r="C14">
        <v>7470.44</v>
      </c>
      <c r="D14">
        <v>0.30825000000000002</v>
      </c>
      <c r="F14">
        <f t="shared" si="21"/>
        <v>543</v>
      </c>
      <c r="G14">
        <f t="shared" si="0"/>
        <v>0.29886538754880004</v>
      </c>
      <c r="H14">
        <f t="shared" si="1"/>
        <v>0.85511811023622042</v>
      </c>
      <c r="I14">
        <f t="shared" si="22"/>
        <v>0.56792898554558813</v>
      </c>
      <c r="K14">
        <v>11</v>
      </c>
      <c r="L14">
        <f t="shared" si="42"/>
        <v>5.5958005249343828E-2</v>
      </c>
      <c r="M14">
        <f t="shared" si="43"/>
        <v>0.11191601049868766</v>
      </c>
      <c r="N14">
        <f t="shared" si="44"/>
        <v>0.16787401574803146</v>
      </c>
      <c r="O14">
        <f t="shared" si="45"/>
        <v>0.22383202099737531</v>
      </c>
      <c r="P14">
        <f t="shared" si="46"/>
        <v>0.27979002624671911</v>
      </c>
      <c r="Q14">
        <f t="shared" si="47"/>
        <v>0.33574803149606292</v>
      </c>
      <c r="R14">
        <f t="shared" si="48"/>
        <v>0.39170603674540672</v>
      </c>
      <c r="S14">
        <f t="shared" si="49"/>
        <v>0.44766404199475063</v>
      </c>
      <c r="T14">
        <f t="shared" si="50"/>
        <v>0.50362204724409443</v>
      </c>
      <c r="U14">
        <f t="shared" si="51"/>
        <v>0.55958005249343823</v>
      </c>
      <c r="V14">
        <f t="shared" si="52"/>
        <v>0.61553805774278214</v>
      </c>
      <c r="W14">
        <f t="shared" si="53"/>
        <v>0.67149606299212583</v>
      </c>
      <c r="X14">
        <f t="shared" si="54"/>
        <v>0.72745406824146974</v>
      </c>
      <c r="Y14">
        <f t="shared" si="55"/>
        <v>0.78341207349081343</v>
      </c>
      <c r="Z14">
        <f t="shared" si="56"/>
        <v>0.83937007874015734</v>
      </c>
      <c r="AA14">
        <f t="shared" si="57"/>
        <v>0.89532808398950126</v>
      </c>
      <c r="AB14">
        <f t="shared" si="58"/>
        <v>0.95128608923884495</v>
      </c>
      <c r="AC14">
        <f t="shared" si="59"/>
        <v>1.0072440944881889</v>
      </c>
      <c r="AD14">
        <f t="shared" si="60"/>
        <v>1.0632020997375327</v>
      </c>
      <c r="AE14">
        <f t="shared" si="61"/>
        <v>1.1191601049868765</v>
      </c>
      <c r="AF14">
        <f t="shared" si="62"/>
        <v>1.1751181102362203</v>
      </c>
      <c r="AG14">
        <f t="shared" si="63"/>
        <v>1.2310761154855643</v>
      </c>
      <c r="AH14">
        <f t="shared" si="64"/>
        <v>1.2870341207349079</v>
      </c>
      <c r="AI14">
        <f t="shared" si="65"/>
        <v>1.3429921259842517</v>
      </c>
      <c r="AJ14">
        <f t="shared" si="66"/>
        <v>1.3989501312335957</v>
      </c>
      <c r="AK14">
        <f t="shared" si="67"/>
        <v>1.4549081364829395</v>
      </c>
      <c r="AL14">
        <f t="shared" si="68"/>
        <v>1.5108661417322833</v>
      </c>
      <c r="AM14">
        <f t="shared" si="69"/>
        <v>1.5668241469816269</v>
      </c>
      <c r="AN14">
        <f t="shared" si="70"/>
        <v>1.6227821522309709</v>
      </c>
      <c r="AO14">
        <f t="shared" si="71"/>
        <v>1.6787401574803147</v>
      </c>
      <c r="AP14">
        <f t="shared" si="72"/>
        <v>1.7346981627296585</v>
      </c>
      <c r="AQ14">
        <f t="shared" si="73"/>
        <v>1.7906561679790025</v>
      </c>
      <c r="AR14">
        <f t="shared" si="74"/>
        <v>1.8466141732283461</v>
      </c>
      <c r="AS14">
        <f t="shared" si="75"/>
        <v>1.9025721784776899</v>
      </c>
      <c r="AT14">
        <f t="shared" si="76"/>
        <v>1.9585301837270337</v>
      </c>
      <c r="AU14">
        <f t="shared" si="77"/>
        <v>2.0144881889763777</v>
      </c>
      <c r="AV14">
        <f t="shared" si="78"/>
        <v>2.0704461942257217</v>
      </c>
      <c r="AW14">
        <f t="shared" si="79"/>
        <v>2.1264041994750653</v>
      </c>
      <c r="AX14">
        <f t="shared" si="80"/>
        <v>2.1823622047244089</v>
      </c>
      <c r="AY14">
        <f t="shared" si="81"/>
        <v>2.2383202099737529</v>
      </c>
    </row>
    <row r="15" spans="2:51" x14ac:dyDescent="0.6">
      <c r="B15">
        <v>280</v>
      </c>
      <c r="C15">
        <v>7472.12</v>
      </c>
      <c r="D15">
        <v>0.29253000000000001</v>
      </c>
      <c r="F15">
        <f t="shared" si="21"/>
        <v>553</v>
      </c>
      <c r="G15">
        <f t="shared" si="0"/>
        <v>0.28314538754880003</v>
      </c>
      <c r="H15">
        <f t="shared" si="1"/>
        <v>0.87086614173228349</v>
      </c>
      <c r="I15">
        <f t="shared" si="22"/>
        <v>0.53805652782808522</v>
      </c>
      <c r="K15">
        <v>12</v>
      </c>
      <c r="L15">
        <f t="shared" si="42"/>
        <v>5.7007874015748028E-2</v>
      </c>
      <c r="M15">
        <f t="shared" si="43"/>
        <v>0.11401574803149606</v>
      </c>
      <c r="N15">
        <f t="shared" si="44"/>
        <v>0.17102362204724408</v>
      </c>
      <c r="O15">
        <f t="shared" si="45"/>
        <v>0.22803149606299211</v>
      </c>
      <c r="P15">
        <f t="shared" si="46"/>
        <v>0.28503937007874014</v>
      </c>
      <c r="Q15">
        <f t="shared" si="47"/>
        <v>0.34204724409448817</v>
      </c>
      <c r="R15">
        <f t="shared" si="48"/>
        <v>0.3990551181102362</v>
      </c>
      <c r="S15">
        <f t="shared" si="49"/>
        <v>0.45606299212598422</v>
      </c>
      <c r="T15">
        <f t="shared" si="50"/>
        <v>0.51307086614173225</v>
      </c>
      <c r="U15">
        <f t="shared" si="51"/>
        <v>0.57007874015748028</v>
      </c>
      <c r="V15">
        <f t="shared" si="52"/>
        <v>0.62708661417322831</v>
      </c>
      <c r="W15">
        <f t="shared" si="53"/>
        <v>0.68409448818897634</v>
      </c>
      <c r="X15">
        <f t="shared" si="54"/>
        <v>0.74110236220472436</v>
      </c>
      <c r="Y15">
        <f t="shared" si="55"/>
        <v>0.79811023622047239</v>
      </c>
      <c r="Z15">
        <f t="shared" si="56"/>
        <v>0.85511811023622042</v>
      </c>
      <c r="AA15">
        <f t="shared" si="57"/>
        <v>0.91212598425196845</v>
      </c>
      <c r="AB15">
        <f t="shared" si="58"/>
        <v>0.96913385826771647</v>
      </c>
      <c r="AC15">
        <f t="shared" si="59"/>
        <v>1.0261417322834645</v>
      </c>
      <c r="AD15">
        <f t="shared" si="60"/>
        <v>1.0831496062992125</v>
      </c>
      <c r="AE15">
        <f t="shared" si="61"/>
        <v>1.1401574803149606</v>
      </c>
      <c r="AF15">
        <f t="shared" si="62"/>
        <v>1.1971653543307086</v>
      </c>
      <c r="AG15">
        <f t="shared" si="63"/>
        <v>1.2541732283464566</v>
      </c>
      <c r="AH15">
        <f t="shared" si="64"/>
        <v>1.3111811023622046</v>
      </c>
      <c r="AI15">
        <f t="shared" si="65"/>
        <v>1.3681889763779527</v>
      </c>
      <c r="AJ15">
        <f t="shared" si="66"/>
        <v>1.4251968503937007</v>
      </c>
      <c r="AK15">
        <f t="shared" si="67"/>
        <v>1.4822047244094487</v>
      </c>
      <c r="AL15">
        <f t="shared" si="68"/>
        <v>1.5392125984251968</v>
      </c>
      <c r="AM15">
        <f t="shared" si="69"/>
        <v>1.5962204724409448</v>
      </c>
      <c r="AN15">
        <f t="shared" si="70"/>
        <v>1.6532283464566928</v>
      </c>
      <c r="AO15">
        <f t="shared" si="71"/>
        <v>1.7102362204724408</v>
      </c>
      <c r="AP15">
        <f t="shared" si="72"/>
        <v>1.7672440944881889</v>
      </c>
      <c r="AQ15">
        <f t="shared" si="73"/>
        <v>1.8242519685039369</v>
      </c>
      <c r="AR15">
        <f t="shared" si="74"/>
        <v>1.8812598425196849</v>
      </c>
      <c r="AS15">
        <f t="shared" si="75"/>
        <v>1.9382677165354329</v>
      </c>
      <c r="AT15">
        <f t="shared" si="76"/>
        <v>1.995275590551181</v>
      </c>
      <c r="AU15">
        <f t="shared" si="77"/>
        <v>2.052283464566929</v>
      </c>
      <c r="AV15">
        <f t="shared" si="78"/>
        <v>2.1092913385826773</v>
      </c>
      <c r="AW15">
        <f t="shared" si="79"/>
        <v>2.1662992125984251</v>
      </c>
      <c r="AX15">
        <f t="shared" si="80"/>
        <v>2.2233070866141729</v>
      </c>
      <c r="AY15">
        <f t="shared" si="81"/>
        <v>2.2803149606299211</v>
      </c>
    </row>
    <row r="16" spans="2:51" x14ac:dyDescent="0.6">
      <c r="B16">
        <v>290</v>
      </c>
      <c r="C16">
        <v>7473.09</v>
      </c>
      <c r="D16">
        <v>0.27567999999999998</v>
      </c>
      <c r="F16">
        <f t="shared" si="21"/>
        <v>563</v>
      </c>
      <c r="G16">
        <f t="shared" si="0"/>
        <v>0.2662953875488</v>
      </c>
      <c r="H16">
        <f t="shared" si="1"/>
        <v>0.88661417322834646</v>
      </c>
      <c r="I16">
        <f t="shared" si="22"/>
        <v>0.50603674967669054</v>
      </c>
      <c r="K16">
        <v>13</v>
      </c>
      <c r="L16">
        <f t="shared" si="42"/>
        <v>5.8057742782152234E-2</v>
      </c>
      <c r="M16">
        <f t="shared" si="43"/>
        <v>0.11611548556430447</v>
      </c>
      <c r="N16">
        <f t="shared" si="44"/>
        <v>0.17417322834645668</v>
      </c>
      <c r="O16">
        <f t="shared" si="45"/>
        <v>0.23223097112860894</v>
      </c>
      <c r="P16">
        <f t="shared" si="46"/>
        <v>0.29028871391076116</v>
      </c>
      <c r="Q16">
        <f t="shared" si="47"/>
        <v>0.34834645669291336</v>
      </c>
      <c r="R16">
        <f t="shared" si="48"/>
        <v>0.40640419947506562</v>
      </c>
      <c r="S16">
        <f t="shared" si="49"/>
        <v>0.46446194225721787</v>
      </c>
      <c r="T16">
        <f t="shared" si="50"/>
        <v>0.52251968503937007</v>
      </c>
      <c r="U16">
        <f t="shared" si="51"/>
        <v>0.58057742782152233</v>
      </c>
      <c r="V16">
        <f t="shared" si="52"/>
        <v>0.63863517060367458</v>
      </c>
      <c r="W16">
        <f t="shared" si="53"/>
        <v>0.69669291338582673</v>
      </c>
      <c r="X16">
        <f t="shared" si="54"/>
        <v>0.75475065616797909</v>
      </c>
      <c r="Y16">
        <f t="shared" si="55"/>
        <v>0.81280839895013124</v>
      </c>
      <c r="Z16">
        <f t="shared" si="56"/>
        <v>0.87086614173228349</v>
      </c>
      <c r="AA16">
        <f t="shared" si="57"/>
        <v>0.92892388451443575</v>
      </c>
      <c r="AB16">
        <f t="shared" si="58"/>
        <v>0.98698162729658789</v>
      </c>
      <c r="AC16">
        <f t="shared" si="59"/>
        <v>1.0450393700787401</v>
      </c>
      <c r="AD16">
        <f t="shared" si="60"/>
        <v>1.1030971128608924</v>
      </c>
      <c r="AE16">
        <f t="shared" si="61"/>
        <v>1.1611548556430447</v>
      </c>
      <c r="AF16">
        <f t="shared" si="62"/>
        <v>1.2192125984251969</v>
      </c>
      <c r="AG16">
        <f t="shared" si="63"/>
        <v>1.2772703412073492</v>
      </c>
      <c r="AH16">
        <f t="shared" si="64"/>
        <v>1.3353280839895012</v>
      </c>
      <c r="AI16">
        <f t="shared" si="65"/>
        <v>1.3933858267716535</v>
      </c>
      <c r="AJ16">
        <f t="shared" si="66"/>
        <v>1.4514435695538057</v>
      </c>
      <c r="AK16">
        <f t="shared" si="67"/>
        <v>1.5095013123359582</v>
      </c>
      <c r="AL16">
        <f t="shared" si="68"/>
        <v>1.5675590551181104</v>
      </c>
      <c r="AM16">
        <f t="shared" si="69"/>
        <v>1.6256167979002625</v>
      </c>
      <c r="AN16">
        <f t="shared" si="70"/>
        <v>1.6836745406824147</v>
      </c>
      <c r="AO16">
        <f t="shared" si="71"/>
        <v>1.741732283464567</v>
      </c>
      <c r="AP16">
        <f t="shared" si="72"/>
        <v>1.7997900262467192</v>
      </c>
      <c r="AQ16">
        <f t="shared" si="73"/>
        <v>1.8578477690288715</v>
      </c>
      <c r="AR16">
        <f t="shared" si="74"/>
        <v>1.9159055118110235</v>
      </c>
      <c r="AS16">
        <f t="shared" si="75"/>
        <v>1.9739632545931758</v>
      </c>
      <c r="AT16">
        <f t="shared" si="76"/>
        <v>2.0320209973753283</v>
      </c>
      <c r="AU16">
        <f t="shared" si="77"/>
        <v>2.0900787401574803</v>
      </c>
      <c r="AV16">
        <f t="shared" si="78"/>
        <v>2.1481364829396328</v>
      </c>
      <c r="AW16">
        <f t="shared" si="79"/>
        <v>2.2061942257217848</v>
      </c>
      <c r="AX16">
        <f t="shared" si="80"/>
        <v>2.2642519685039368</v>
      </c>
      <c r="AY16">
        <f t="shared" si="81"/>
        <v>2.3223097112860893</v>
      </c>
    </row>
    <row r="17" spans="2:51" x14ac:dyDescent="0.6">
      <c r="B17">
        <v>300</v>
      </c>
      <c r="C17">
        <v>7471.64</v>
      </c>
      <c r="D17">
        <v>0.25553999999999999</v>
      </c>
      <c r="F17">
        <f t="shared" si="21"/>
        <v>573</v>
      </c>
      <c r="G17">
        <f t="shared" si="0"/>
        <v>0.24615538754879998</v>
      </c>
      <c r="H17">
        <f t="shared" si="1"/>
        <v>0.90236220472440942</v>
      </c>
      <c r="I17">
        <f t="shared" si="22"/>
        <v>0.46776503858060214</v>
      </c>
      <c r="K17">
        <v>14</v>
      </c>
      <c r="L17">
        <f t="shared" si="42"/>
        <v>5.9107611548556427E-2</v>
      </c>
      <c r="M17">
        <f t="shared" si="43"/>
        <v>0.11821522309711285</v>
      </c>
      <c r="N17">
        <f t="shared" si="44"/>
        <v>0.17732283464566928</v>
      </c>
      <c r="O17">
        <f t="shared" si="45"/>
        <v>0.23643044619422571</v>
      </c>
      <c r="P17">
        <f t="shared" si="46"/>
        <v>0.29553805774278213</v>
      </c>
      <c r="Q17">
        <f t="shared" si="47"/>
        <v>0.35464566929133856</v>
      </c>
      <c r="R17">
        <f t="shared" si="48"/>
        <v>0.41375328083989499</v>
      </c>
      <c r="S17">
        <f t="shared" si="49"/>
        <v>0.47286089238845141</v>
      </c>
      <c r="T17">
        <f t="shared" si="50"/>
        <v>0.5319685039370079</v>
      </c>
      <c r="U17">
        <f t="shared" si="51"/>
        <v>0.59107611548556427</v>
      </c>
      <c r="V17">
        <f t="shared" si="52"/>
        <v>0.65018372703412075</v>
      </c>
      <c r="W17">
        <f t="shared" si="53"/>
        <v>0.70929133858267712</v>
      </c>
      <c r="X17">
        <f t="shared" si="54"/>
        <v>0.7683989501312336</v>
      </c>
      <c r="Y17">
        <f t="shared" si="55"/>
        <v>0.82750656167978998</v>
      </c>
      <c r="Z17">
        <f t="shared" si="56"/>
        <v>0.88661417322834635</v>
      </c>
      <c r="AA17">
        <f t="shared" si="57"/>
        <v>0.94572178477690283</v>
      </c>
      <c r="AB17">
        <f t="shared" si="58"/>
        <v>1.0048293963254593</v>
      </c>
      <c r="AC17">
        <f t="shared" si="59"/>
        <v>1.0639370078740158</v>
      </c>
      <c r="AD17">
        <f t="shared" si="60"/>
        <v>1.1230446194225721</v>
      </c>
      <c r="AE17">
        <f t="shared" si="61"/>
        <v>1.1821522309711285</v>
      </c>
      <c r="AF17">
        <f t="shared" si="62"/>
        <v>1.241259842519685</v>
      </c>
      <c r="AG17">
        <f t="shared" si="63"/>
        <v>1.3003674540682415</v>
      </c>
      <c r="AH17">
        <f t="shared" si="64"/>
        <v>1.3594750656167978</v>
      </c>
      <c r="AI17">
        <f t="shared" si="65"/>
        <v>1.4185826771653542</v>
      </c>
      <c r="AJ17">
        <f t="shared" si="66"/>
        <v>1.4776902887139107</v>
      </c>
      <c r="AK17">
        <f t="shared" si="67"/>
        <v>1.5367979002624672</v>
      </c>
      <c r="AL17">
        <f t="shared" si="68"/>
        <v>1.5959055118110237</v>
      </c>
      <c r="AM17">
        <f t="shared" si="69"/>
        <v>1.65501312335958</v>
      </c>
      <c r="AN17">
        <f t="shared" si="70"/>
        <v>1.7141207349081364</v>
      </c>
      <c r="AO17">
        <f t="shared" si="71"/>
        <v>1.7732283464566927</v>
      </c>
      <c r="AP17">
        <f t="shared" si="72"/>
        <v>1.8323359580052492</v>
      </c>
      <c r="AQ17">
        <f t="shared" si="73"/>
        <v>1.8914435695538057</v>
      </c>
      <c r="AR17">
        <f t="shared" si="74"/>
        <v>1.9505511811023619</v>
      </c>
      <c r="AS17">
        <f t="shared" si="75"/>
        <v>2.0096587926509186</v>
      </c>
      <c r="AT17">
        <f t="shared" si="76"/>
        <v>2.0687664041994749</v>
      </c>
      <c r="AU17">
        <f t="shared" si="77"/>
        <v>2.1278740157480316</v>
      </c>
      <c r="AV17">
        <f t="shared" si="78"/>
        <v>2.1869816272965878</v>
      </c>
      <c r="AW17">
        <f t="shared" si="79"/>
        <v>2.2460892388451441</v>
      </c>
      <c r="AX17">
        <f t="shared" si="80"/>
        <v>2.3051968503937008</v>
      </c>
      <c r="AY17">
        <f t="shared" si="81"/>
        <v>2.3643044619422571</v>
      </c>
    </row>
    <row r="18" spans="2:51" x14ac:dyDescent="0.6">
      <c r="B18">
        <v>310</v>
      </c>
      <c r="C18">
        <v>7470.44</v>
      </c>
      <c r="D18">
        <v>0.23466000000000001</v>
      </c>
      <c r="F18">
        <f t="shared" si="21"/>
        <v>583</v>
      </c>
      <c r="G18">
        <f t="shared" si="0"/>
        <v>0.2252753875488</v>
      </c>
      <c r="H18">
        <f t="shared" si="1"/>
        <v>0.91811023622047239</v>
      </c>
      <c r="I18">
        <f t="shared" si="22"/>
        <v>0.42808711764285023</v>
      </c>
      <c r="K18">
        <v>15</v>
      </c>
      <c r="L18">
        <f t="shared" si="42"/>
        <v>6.0157480314960626E-2</v>
      </c>
      <c r="M18">
        <f t="shared" si="43"/>
        <v>0.12031496062992125</v>
      </c>
      <c r="N18">
        <f t="shared" si="44"/>
        <v>0.18047244094488185</v>
      </c>
      <c r="O18">
        <f t="shared" si="45"/>
        <v>0.24062992125984251</v>
      </c>
      <c r="P18">
        <f t="shared" si="46"/>
        <v>0.3007874015748031</v>
      </c>
      <c r="Q18">
        <f t="shared" si="47"/>
        <v>0.3609448818897637</v>
      </c>
      <c r="R18">
        <f t="shared" si="48"/>
        <v>0.4211023622047243</v>
      </c>
      <c r="S18">
        <f t="shared" si="49"/>
        <v>0.48125984251968501</v>
      </c>
      <c r="T18">
        <f t="shared" si="50"/>
        <v>0.54141732283464561</v>
      </c>
      <c r="U18">
        <f t="shared" si="51"/>
        <v>0.60157480314960621</v>
      </c>
      <c r="V18">
        <f t="shared" si="52"/>
        <v>0.66173228346456692</v>
      </c>
      <c r="W18">
        <f t="shared" si="53"/>
        <v>0.7218897637795274</v>
      </c>
      <c r="X18">
        <f t="shared" si="54"/>
        <v>0.78204724409448811</v>
      </c>
      <c r="Y18">
        <f t="shared" si="55"/>
        <v>0.8422047244094486</v>
      </c>
      <c r="Z18">
        <f t="shared" si="56"/>
        <v>0.90236220472440931</v>
      </c>
      <c r="AA18">
        <f t="shared" si="57"/>
        <v>0.96251968503937002</v>
      </c>
      <c r="AB18">
        <f t="shared" si="58"/>
        <v>1.0226771653543305</v>
      </c>
      <c r="AC18">
        <f t="shared" si="59"/>
        <v>1.0828346456692912</v>
      </c>
      <c r="AD18">
        <f t="shared" si="60"/>
        <v>1.1429921259842517</v>
      </c>
      <c r="AE18">
        <f t="shared" si="61"/>
        <v>1.2031496062992124</v>
      </c>
      <c r="AF18">
        <f t="shared" si="62"/>
        <v>1.2633070866141731</v>
      </c>
      <c r="AG18">
        <f t="shared" si="63"/>
        <v>1.3234645669291338</v>
      </c>
      <c r="AH18">
        <f t="shared" si="64"/>
        <v>1.3836220472440941</v>
      </c>
      <c r="AI18">
        <f t="shared" si="65"/>
        <v>1.4437795275590548</v>
      </c>
      <c r="AJ18">
        <f t="shared" si="66"/>
        <v>1.5039370078740155</v>
      </c>
      <c r="AK18">
        <f t="shared" si="67"/>
        <v>1.5640944881889762</v>
      </c>
      <c r="AL18">
        <f t="shared" si="68"/>
        <v>1.6242519685039369</v>
      </c>
      <c r="AM18">
        <f t="shared" si="69"/>
        <v>1.6844094488188972</v>
      </c>
      <c r="AN18">
        <f t="shared" si="70"/>
        <v>1.7445669291338579</v>
      </c>
      <c r="AO18">
        <f t="shared" si="71"/>
        <v>1.8047244094488186</v>
      </c>
      <c r="AP18">
        <f t="shared" si="72"/>
        <v>1.8648818897637793</v>
      </c>
      <c r="AQ18">
        <f t="shared" si="73"/>
        <v>1.92503937007874</v>
      </c>
      <c r="AR18">
        <f t="shared" si="74"/>
        <v>1.9851968503937003</v>
      </c>
      <c r="AS18">
        <f t="shared" si="75"/>
        <v>2.045354330708661</v>
      </c>
      <c r="AT18">
        <f t="shared" si="76"/>
        <v>2.1055118110236215</v>
      </c>
      <c r="AU18">
        <f t="shared" si="77"/>
        <v>2.1656692913385824</v>
      </c>
      <c r="AV18">
        <f t="shared" si="78"/>
        <v>2.2258267716535429</v>
      </c>
      <c r="AW18">
        <f t="shared" si="79"/>
        <v>2.2859842519685034</v>
      </c>
      <c r="AX18">
        <f t="shared" si="80"/>
        <v>2.3461417322834643</v>
      </c>
      <c r="AY18">
        <f t="shared" si="81"/>
        <v>2.4062992125984248</v>
      </c>
    </row>
    <row r="19" spans="2:51" x14ac:dyDescent="0.6">
      <c r="B19">
        <v>320</v>
      </c>
      <c r="C19">
        <v>7472.36</v>
      </c>
      <c r="D19">
        <v>0.21643000000000001</v>
      </c>
      <c r="F19">
        <f t="shared" si="21"/>
        <v>593</v>
      </c>
      <c r="G19">
        <f t="shared" si="0"/>
        <v>0.2070453875488</v>
      </c>
      <c r="H19">
        <f t="shared" si="1"/>
        <v>0.93385826771653546</v>
      </c>
      <c r="I19">
        <f t="shared" si="22"/>
        <v>0.39344494816510994</v>
      </c>
      <c r="K19">
        <v>16</v>
      </c>
      <c r="L19">
        <f t="shared" si="42"/>
        <v>6.1207349081364826E-2</v>
      </c>
      <c r="M19">
        <f t="shared" si="43"/>
        <v>0.12241469816272965</v>
      </c>
      <c r="N19">
        <f t="shared" si="44"/>
        <v>0.18362204724409448</v>
      </c>
      <c r="O19">
        <f t="shared" si="45"/>
        <v>0.2448293963254593</v>
      </c>
      <c r="P19">
        <f t="shared" si="46"/>
        <v>0.30603674540682413</v>
      </c>
      <c r="Q19">
        <f t="shared" si="47"/>
        <v>0.36724409448818895</v>
      </c>
      <c r="R19">
        <f t="shared" si="48"/>
        <v>0.42845144356955378</v>
      </c>
      <c r="S19">
        <f t="shared" si="49"/>
        <v>0.48965879265091861</v>
      </c>
      <c r="T19">
        <f t="shared" si="50"/>
        <v>0.55086614173228343</v>
      </c>
      <c r="U19">
        <f t="shared" si="51"/>
        <v>0.61207349081364826</v>
      </c>
      <c r="V19">
        <f t="shared" si="52"/>
        <v>0.67328083989501308</v>
      </c>
      <c r="W19">
        <f t="shared" si="53"/>
        <v>0.73448818897637791</v>
      </c>
      <c r="X19">
        <f t="shared" si="54"/>
        <v>0.79569553805774274</v>
      </c>
      <c r="Y19">
        <f t="shared" si="55"/>
        <v>0.85690288713910756</v>
      </c>
      <c r="Z19">
        <f t="shared" si="56"/>
        <v>0.91811023622047239</v>
      </c>
      <c r="AA19">
        <f t="shared" si="57"/>
        <v>0.97931758530183721</v>
      </c>
      <c r="AB19">
        <f t="shared" si="58"/>
        <v>1.0405249343832019</v>
      </c>
      <c r="AC19">
        <f t="shared" si="59"/>
        <v>1.1017322834645669</v>
      </c>
      <c r="AD19">
        <f t="shared" si="60"/>
        <v>1.1629396325459316</v>
      </c>
      <c r="AE19">
        <f t="shared" si="61"/>
        <v>1.2241469816272965</v>
      </c>
      <c r="AF19">
        <f t="shared" si="62"/>
        <v>1.2853543307086615</v>
      </c>
      <c r="AG19">
        <f t="shared" si="63"/>
        <v>1.3465616797900262</v>
      </c>
      <c r="AH19">
        <f t="shared" si="64"/>
        <v>1.4077690288713909</v>
      </c>
      <c r="AI19">
        <f t="shared" si="65"/>
        <v>1.4689763779527558</v>
      </c>
      <c r="AJ19">
        <f t="shared" si="66"/>
        <v>1.5301837270341205</v>
      </c>
      <c r="AK19">
        <f t="shared" si="67"/>
        <v>1.5913910761154855</v>
      </c>
      <c r="AL19">
        <f t="shared" si="68"/>
        <v>1.6525984251968504</v>
      </c>
      <c r="AM19">
        <f t="shared" si="69"/>
        <v>1.7138057742782151</v>
      </c>
      <c r="AN19">
        <f t="shared" si="70"/>
        <v>1.7750131233595798</v>
      </c>
      <c r="AO19">
        <f t="shared" si="71"/>
        <v>1.8362204724409448</v>
      </c>
      <c r="AP19">
        <f t="shared" si="72"/>
        <v>1.8974278215223097</v>
      </c>
      <c r="AQ19">
        <f t="shared" si="73"/>
        <v>1.9586351706036744</v>
      </c>
      <c r="AR19">
        <f t="shared" si="74"/>
        <v>2.0198425196850391</v>
      </c>
      <c r="AS19">
        <f t="shared" si="75"/>
        <v>2.0810498687664039</v>
      </c>
      <c r="AT19">
        <f t="shared" si="76"/>
        <v>2.142257217847769</v>
      </c>
      <c r="AU19">
        <f t="shared" si="77"/>
        <v>2.2034645669291337</v>
      </c>
      <c r="AV19">
        <f t="shared" si="78"/>
        <v>2.2646719160104984</v>
      </c>
      <c r="AW19">
        <f t="shared" si="79"/>
        <v>2.3258792650918632</v>
      </c>
      <c r="AX19">
        <f t="shared" si="80"/>
        <v>2.3870866141732283</v>
      </c>
      <c r="AY19">
        <f t="shared" si="81"/>
        <v>2.448293963254593</v>
      </c>
    </row>
    <row r="20" spans="2:51" x14ac:dyDescent="0.6">
      <c r="B20">
        <v>330</v>
      </c>
      <c r="C20">
        <v>7470.68</v>
      </c>
      <c r="D20">
        <v>0.19361</v>
      </c>
      <c r="F20">
        <f t="shared" si="21"/>
        <v>603</v>
      </c>
      <c r="G20">
        <f t="shared" si="0"/>
        <v>0.1842253875488</v>
      </c>
      <c r="H20">
        <f t="shared" si="1"/>
        <v>0.94960629921259843</v>
      </c>
      <c r="I20">
        <f t="shared" si="22"/>
        <v>0.35008047710191553</v>
      </c>
      <c r="K20">
        <v>17</v>
      </c>
      <c r="L20">
        <f t="shared" si="42"/>
        <v>6.2257217847769032E-2</v>
      </c>
      <c r="M20">
        <f t="shared" si="43"/>
        <v>0.12451443569553806</v>
      </c>
      <c r="N20">
        <f t="shared" si="44"/>
        <v>0.18677165354330708</v>
      </c>
      <c r="O20">
        <f t="shared" si="45"/>
        <v>0.24902887139107613</v>
      </c>
      <c r="P20">
        <f t="shared" si="46"/>
        <v>0.31128608923884515</v>
      </c>
      <c r="Q20">
        <f t="shared" si="47"/>
        <v>0.37354330708661415</v>
      </c>
      <c r="R20">
        <f t="shared" si="48"/>
        <v>0.4358005249343832</v>
      </c>
      <c r="S20">
        <f t="shared" si="49"/>
        <v>0.49805774278215226</v>
      </c>
      <c r="T20">
        <f t="shared" si="50"/>
        <v>0.56031496062992125</v>
      </c>
      <c r="U20">
        <f t="shared" si="51"/>
        <v>0.62257217847769031</v>
      </c>
      <c r="V20">
        <f t="shared" si="52"/>
        <v>0.68482939632545936</v>
      </c>
      <c r="W20">
        <f t="shared" si="53"/>
        <v>0.7470866141732283</v>
      </c>
      <c r="X20">
        <f t="shared" si="54"/>
        <v>0.80934383202099747</v>
      </c>
      <c r="Y20">
        <f t="shared" si="55"/>
        <v>0.87160104986876641</v>
      </c>
      <c r="Z20">
        <f t="shared" si="56"/>
        <v>0.93385826771653546</v>
      </c>
      <c r="AA20">
        <f t="shared" si="57"/>
        <v>0.99611548556430451</v>
      </c>
      <c r="AB20">
        <f t="shared" si="58"/>
        <v>1.0583727034120736</v>
      </c>
      <c r="AC20">
        <f t="shared" si="59"/>
        <v>1.1206299212598425</v>
      </c>
      <c r="AD20">
        <f t="shared" si="60"/>
        <v>1.1828871391076115</v>
      </c>
      <c r="AE20">
        <f t="shared" si="61"/>
        <v>1.2451443569553806</v>
      </c>
      <c r="AF20">
        <f t="shared" si="62"/>
        <v>1.3074015748031498</v>
      </c>
      <c r="AG20">
        <f t="shared" si="63"/>
        <v>1.3696587926509187</v>
      </c>
      <c r="AH20">
        <f t="shared" si="64"/>
        <v>1.4319160104986877</v>
      </c>
      <c r="AI20">
        <f t="shared" si="65"/>
        <v>1.4941732283464566</v>
      </c>
      <c r="AJ20">
        <f t="shared" si="66"/>
        <v>1.5564304461942258</v>
      </c>
      <c r="AK20">
        <f t="shared" si="67"/>
        <v>1.6186876640419949</v>
      </c>
      <c r="AL20">
        <f t="shared" si="68"/>
        <v>1.6809448818897639</v>
      </c>
      <c r="AM20">
        <f t="shared" si="69"/>
        <v>1.7432020997375328</v>
      </c>
      <c r="AN20">
        <f t="shared" si="70"/>
        <v>1.8054593175853018</v>
      </c>
      <c r="AO20">
        <f t="shared" si="71"/>
        <v>1.8677165354330709</v>
      </c>
      <c r="AP20">
        <f t="shared" si="72"/>
        <v>1.9299737532808401</v>
      </c>
      <c r="AQ20">
        <f t="shared" si="73"/>
        <v>1.992230971128609</v>
      </c>
      <c r="AR20">
        <f t="shared" si="74"/>
        <v>2.0544881889763777</v>
      </c>
      <c r="AS20">
        <f t="shared" si="75"/>
        <v>2.1167454068241471</v>
      </c>
      <c r="AT20">
        <f t="shared" si="76"/>
        <v>2.1790026246719161</v>
      </c>
      <c r="AU20">
        <f t="shared" si="77"/>
        <v>2.241259842519685</v>
      </c>
      <c r="AV20">
        <f t="shared" si="78"/>
        <v>2.3035170603674544</v>
      </c>
      <c r="AW20">
        <f t="shared" si="79"/>
        <v>2.3657742782152229</v>
      </c>
      <c r="AX20">
        <f t="shared" si="80"/>
        <v>2.4280314960629923</v>
      </c>
      <c r="AY20">
        <f t="shared" si="81"/>
        <v>2.4902887139107612</v>
      </c>
    </row>
    <row r="21" spans="2:51" x14ac:dyDescent="0.6">
      <c r="B21">
        <v>340</v>
      </c>
      <c r="C21">
        <v>7471.16</v>
      </c>
      <c r="D21">
        <v>0.1646</v>
      </c>
      <c r="F21">
        <f t="shared" si="21"/>
        <v>613</v>
      </c>
      <c r="G21">
        <f t="shared" si="0"/>
        <v>0.15521538754879999</v>
      </c>
      <c r="H21">
        <f t="shared" si="1"/>
        <v>0.96535433070866139</v>
      </c>
      <c r="I21">
        <f t="shared" si="22"/>
        <v>0.29495325074156187</v>
      </c>
      <c r="K21">
        <v>18</v>
      </c>
      <c r="L21">
        <f t="shared" si="42"/>
        <v>6.3307086614173225E-2</v>
      </c>
      <c r="M21">
        <f t="shared" si="43"/>
        <v>0.12661417322834645</v>
      </c>
      <c r="N21">
        <f t="shared" si="44"/>
        <v>0.18992125984251967</v>
      </c>
      <c r="O21">
        <f t="shared" si="45"/>
        <v>0.2532283464566929</v>
      </c>
      <c r="P21">
        <f t="shared" si="46"/>
        <v>0.31653543307086612</v>
      </c>
      <c r="Q21">
        <f t="shared" si="47"/>
        <v>0.37984251968503935</v>
      </c>
      <c r="R21">
        <f t="shared" si="48"/>
        <v>0.44314960629921252</v>
      </c>
      <c r="S21">
        <f t="shared" si="49"/>
        <v>0.5064566929133858</v>
      </c>
      <c r="T21">
        <f t="shared" si="50"/>
        <v>0.56976377952755908</v>
      </c>
      <c r="U21">
        <f t="shared" si="51"/>
        <v>0.63307086614173225</v>
      </c>
      <c r="V21">
        <f t="shared" si="52"/>
        <v>0.69637795275590553</v>
      </c>
      <c r="W21">
        <f t="shared" si="53"/>
        <v>0.7596850393700787</v>
      </c>
      <c r="X21">
        <f t="shared" si="54"/>
        <v>0.82299212598425198</v>
      </c>
      <c r="Y21">
        <f t="shared" si="55"/>
        <v>0.88629921259842503</v>
      </c>
      <c r="Z21">
        <f t="shared" si="56"/>
        <v>0.94960629921259843</v>
      </c>
      <c r="AA21">
        <f t="shared" si="57"/>
        <v>1.0129133858267716</v>
      </c>
      <c r="AB21">
        <f t="shared" si="58"/>
        <v>1.0762204724409448</v>
      </c>
      <c r="AC21">
        <f t="shared" si="59"/>
        <v>1.1395275590551182</v>
      </c>
      <c r="AD21">
        <f t="shared" si="60"/>
        <v>1.2028346456692911</v>
      </c>
      <c r="AE21">
        <f t="shared" si="61"/>
        <v>1.2661417322834645</v>
      </c>
      <c r="AF21">
        <f t="shared" si="62"/>
        <v>1.3294488188976379</v>
      </c>
      <c r="AG21">
        <f t="shared" si="63"/>
        <v>1.3927559055118111</v>
      </c>
      <c r="AH21">
        <f t="shared" si="64"/>
        <v>1.456062992125984</v>
      </c>
      <c r="AI21">
        <f t="shared" si="65"/>
        <v>1.5193700787401574</v>
      </c>
      <c r="AJ21">
        <f t="shared" si="66"/>
        <v>1.5826771653543306</v>
      </c>
      <c r="AK21">
        <f t="shared" si="67"/>
        <v>1.645984251968504</v>
      </c>
      <c r="AL21">
        <f t="shared" si="68"/>
        <v>1.7092913385826771</v>
      </c>
      <c r="AM21">
        <f t="shared" si="69"/>
        <v>1.7725984251968501</v>
      </c>
      <c r="AN21">
        <f t="shared" si="70"/>
        <v>1.8359055118110235</v>
      </c>
      <c r="AO21">
        <f t="shared" si="71"/>
        <v>1.8992125984251969</v>
      </c>
      <c r="AP21">
        <f t="shared" si="72"/>
        <v>1.96251968503937</v>
      </c>
      <c r="AQ21">
        <f t="shared" si="73"/>
        <v>2.0258267716535432</v>
      </c>
      <c r="AR21">
        <f t="shared" si="74"/>
        <v>2.0891338582677164</v>
      </c>
      <c r="AS21">
        <f t="shared" si="75"/>
        <v>2.1524409448818895</v>
      </c>
      <c r="AT21">
        <f t="shared" si="76"/>
        <v>2.2157480314960627</v>
      </c>
      <c r="AU21">
        <f t="shared" si="77"/>
        <v>2.2790551181102363</v>
      </c>
      <c r="AV21">
        <f t="shared" si="78"/>
        <v>2.3423622047244095</v>
      </c>
      <c r="AW21">
        <f t="shared" si="79"/>
        <v>2.4056692913385822</v>
      </c>
      <c r="AX21">
        <f t="shared" si="80"/>
        <v>2.4689763779527558</v>
      </c>
      <c r="AY21">
        <f t="shared" si="81"/>
        <v>2.532283464566929</v>
      </c>
    </row>
    <row r="22" spans="2:51" x14ac:dyDescent="0.6">
      <c r="B22">
        <v>350</v>
      </c>
      <c r="C22">
        <v>7473.33</v>
      </c>
      <c r="D22">
        <v>0.12089</v>
      </c>
      <c r="F22">
        <f t="shared" si="21"/>
        <v>623</v>
      </c>
      <c r="G22">
        <f t="shared" si="0"/>
        <v>0.1115053875488</v>
      </c>
      <c r="H22">
        <f t="shared" si="1"/>
        <v>0.98110236220472435</v>
      </c>
      <c r="I22">
        <f t="shared" si="22"/>
        <v>0.21189185590491741</v>
      </c>
      <c r="K22">
        <v>19</v>
      </c>
      <c r="L22">
        <f t="shared" si="42"/>
        <v>6.4356955380577424E-2</v>
      </c>
      <c r="M22">
        <f t="shared" si="43"/>
        <v>0.12871391076115485</v>
      </c>
      <c r="N22">
        <f t="shared" si="44"/>
        <v>0.19307086614173224</v>
      </c>
      <c r="O22">
        <f t="shared" si="45"/>
        <v>0.2574278215223097</v>
      </c>
      <c r="P22">
        <f t="shared" si="46"/>
        <v>0.32178477690288709</v>
      </c>
      <c r="Q22">
        <f t="shared" si="47"/>
        <v>0.38614173228346449</v>
      </c>
      <c r="R22">
        <f t="shared" si="48"/>
        <v>0.45049868766404189</v>
      </c>
      <c r="S22">
        <f t="shared" si="49"/>
        <v>0.51485564304461939</v>
      </c>
      <c r="T22">
        <f t="shared" si="50"/>
        <v>0.57921259842519679</v>
      </c>
      <c r="U22">
        <f t="shared" si="51"/>
        <v>0.64356955380577419</v>
      </c>
      <c r="V22">
        <f t="shared" si="52"/>
        <v>0.70792650918635169</v>
      </c>
      <c r="W22">
        <f t="shared" si="53"/>
        <v>0.77228346456692898</v>
      </c>
      <c r="X22">
        <f t="shared" si="54"/>
        <v>0.83664041994750649</v>
      </c>
      <c r="Y22">
        <f t="shared" si="55"/>
        <v>0.90099737532808377</v>
      </c>
      <c r="Z22">
        <f t="shared" si="56"/>
        <v>0.96535433070866128</v>
      </c>
      <c r="AA22">
        <f t="shared" si="57"/>
        <v>1.0297112860892388</v>
      </c>
      <c r="AB22">
        <f t="shared" si="58"/>
        <v>1.0940682414698162</v>
      </c>
      <c r="AC22">
        <f t="shared" si="59"/>
        <v>1.1584251968503936</v>
      </c>
      <c r="AD22">
        <f t="shared" si="60"/>
        <v>1.222782152230971</v>
      </c>
      <c r="AE22">
        <f t="shared" si="61"/>
        <v>1.2871391076115484</v>
      </c>
      <c r="AF22">
        <f t="shared" si="62"/>
        <v>1.3514960629921258</v>
      </c>
      <c r="AG22">
        <f t="shared" si="63"/>
        <v>1.4158530183727034</v>
      </c>
      <c r="AH22">
        <f t="shared" si="64"/>
        <v>1.4802099737532806</v>
      </c>
      <c r="AI22">
        <f t="shared" si="65"/>
        <v>1.544566929133858</v>
      </c>
      <c r="AJ22">
        <f t="shared" si="66"/>
        <v>1.6089238845144354</v>
      </c>
      <c r="AK22">
        <f t="shared" si="67"/>
        <v>1.673280839895013</v>
      </c>
      <c r="AL22">
        <f t="shared" si="68"/>
        <v>1.7376377952755904</v>
      </c>
      <c r="AM22">
        <f t="shared" si="69"/>
        <v>1.8019947506561675</v>
      </c>
      <c r="AN22">
        <f t="shared" si="70"/>
        <v>1.8663517060367452</v>
      </c>
      <c r="AO22">
        <f t="shared" si="71"/>
        <v>1.9307086614173226</v>
      </c>
      <c r="AP22">
        <f t="shared" si="72"/>
        <v>1.9950656167979</v>
      </c>
      <c r="AQ22">
        <f t="shared" si="73"/>
        <v>2.0594225721784776</v>
      </c>
      <c r="AR22">
        <f t="shared" si="74"/>
        <v>2.1237795275590545</v>
      </c>
      <c r="AS22">
        <f t="shared" si="75"/>
        <v>2.1881364829396324</v>
      </c>
      <c r="AT22">
        <f t="shared" si="76"/>
        <v>2.2524934383202098</v>
      </c>
      <c r="AU22">
        <f t="shared" si="77"/>
        <v>2.3168503937007872</v>
      </c>
      <c r="AV22">
        <f t="shared" si="78"/>
        <v>2.3812073490813646</v>
      </c>
      <c r="AW22">
        <f t="shared" si="79"/>
        <v>2.445564304461942</v>
      </c>
      <c r="AX22">
        <f t="shared" si="80"/>
        <v>2.5099212598425193</v>
      </c>
      <c r="AY22">
        <f t="shared" si="81"/>
        <v>2.5742782152230967</v>
      </c>
    </row>
    <row r="23" spans="2:51" x14ac:dyDescent="0.6">
      <c r="B23">
        <v>360</v>
      </c>
      <c r="C23">
        <v>7470.44</v>
      </c>
      <c r="D23">
        <v>1.7770000000000001E-2</v>
      </c>
      <c r="F23">
        <f t="shared" si="21"/>
        <v>633</v>
      </c>
      <c r="G23">
        <f t="shared" si="0"/>
        <v>8.3853875488000013E-3</v>
      </c>
      <c r="H23">
        <f t="shared" si="1"/>
        <v>0.99685039370078743</v>
      </c>
      <c r="I23">
        <f t="shared" si="22"/>
        <v>1.5934614185521837E-2</v>
      </c>
      <c r="K23">
        <v>20</v>
      </c>
      <c r="L23">
        <f t="shared" si="42"/>
        <v>6.5406824146981624E-2</v>
      </c>
      <c r="M23">
        <f t="shared" si="43"/>
        <v>0.13081364829396325</v>
      </c>
      <c r="N23">
        <f t="shared" si="44"/>
        <v>0.19622047244094487</v>
      </c>
      <c r="O23">
        <f t="shared" si="45"/>
        <v>0.26162729658792649</v>
      </c>
      <c r="P23">
        <f t="shared" si="46"/>
        <v>0.32703412073490812</v>
      </c>
      <c r="Q23">
        <f t="shared" si="47"/>
        <v>0.39244094488188974</v>
      </c>
      <c r="R23">
        <f t="shared" si="48"/>
        <v>0.45784776902887131</v>
      </c>
      <c r="S23">
        <f t="shared" si="49"/>
        <v>0.52325459317585299</v>
      </c>
      <c r="T23">
        <f t="shared" si="50"/>
        <v>0.58866141732283461</v>
      </c>
      <c r="U23">
        <f t="shared" si="51"/>
        <v>0.65406824146981624</v>
      </c>
      <c r="V23">
        <f t="shared" si="52"/>
        <v>0.71947506561679797</v>
      </c>
      <c r="W23">
        <f t="shared" si="53"/>
        <v>0.78488188976377948</v>
      </c>
      <c r="X23">
        <f t="shared" si="54"/>
        <v>0.85028871391076111</v>
      </c>
      <c r="Y23">
        <f t="shared" si="55"/>
        <v>0.91569553805774262</v>
      </c>
      <c r="Z23">
        <f t="shared" si="56"/>
        <v>0.98110236220472435</v>
      </c>
      <c r="AA23">
        <f t="shared" si="57"/>
        <v>1.046509186351706</v>
      </c>
      <c r="AB23">
        <f t="shared" si="58"/>
        <v>1.1119160104986876</v>
      </c>
      <c r="AC23">
        <f t="shared" si="59"/>
        <v>1.1773228346456692</v>
      </c>
      <c r="AD23">
        <f t="shared" si="60"/>
        <v>1.2427296587926508</v>
      </c>
      <c r="AE23">
        <f t="shared" si="61"/>
        <v>1.3081364829396325</v>
      </c>
      <c r="AF23">
        <f t="shared" si="62"/>
        <v>1.3735433070866141</v>
      </c>
      <c r="AG23">
        <f t="shared" si="63"/>
        <v>1.4389501312335959</v>
      </c>
      <c r="AH23">
        <f t="shared" si="64"/>
        <v>1.5043569553805771</v>
      </c>
      <c r="AI23">
        <f t="shared" si="65"/>
        <v>1.569763779527559</v>
      </c>
      <c r="AJ23">
        <f t="shared" si="66"/>
        <v>1.6351706036745406</v>
      </c>
      <c r="AK23">
        <f t="shared" si="67"/>
        <v>1.7005774278215222</v>
      </c>
      <c r="AL23">
        <f t="shared" si="68"/>
        <v>1.7659842519685041</v>
      </c>
      <c r="AM23">
        <f t="shared" si="69"/>
        <v>1.8313910761154852</v>
      </c>
      <c r="AN23">
        <f t="shared" si="70"/>
        <v>1.8967979002624671</v>
      </c>
      <c r="AO23">
        <f t="shared" si="71"/>
        <v>1.9622047244094487</v>
      </c>
      <c r="AP23">
        <f t="shared" si="72"/>
        <v>2.0276115485564303</v>
      </c>
      <c r="AQ23">
        <f t="shared" si="73"/>
        <v>2.093018372703412</v>
      </c>
      <c r="AR23">
        <f t="shared" si="74"/>
        <v>2.1584251968503936</v>
      </c>
      <c r="AS23">
        <f t="shared" si="75"/>
        <v>2.2238320209973752</v>
      </c>
      <c r="AT23">
        <f t="shared" si="76"/>
        <v>2.2892388451443568</v>
      </c>
      <c r="AU23">
        <f t="shared" si="77"/>
        <v>2.3546456692913385</v>
      </c>
      <c r="AV23">
        <f t="shared" si="78"/>
        <v>2.4200524934383201</v>
      </c>
      <c r="AW23">
        <f t="shared" si="79"/>
        <v>2.4854593175853017</v>
      </c>
      <c r="AX23">
        <f t="shared" si="80"/>
        <v>2.5508661417322833</v>
      </c>
      <c r="AY23">
        <f t="shared" si="81"/>
        <v>2.6162729658792649</v>
      </c>
    </row>
    <row r="24" spans="2:51" x14ac:dyDescent="0.6">
      <c r="B24">
        <v>370</v>
      </c>
      <c r="C24">
        <v>7470.68</v>
      </c>
      <c r="D24">
        <v>1.5820000000000001E-2</v>
      </c>
      <c r="F24">
        <f t="shared" si="21"/>
        <v>643</v>
      </c>
      <c r="G24">
        <f t="shared" si="0"/>
        <v>6.435387548800001E-3</v>
      </c>
      <c r="H24">
        <f t="shared" si="1"/>
        <v>1.0125984251968505</v>
      </c>
      <c r="I24">
        <f t="shared" si="22"/>
        <v>1.2229061224381211E-2</v>
      </c>
      <c r="K24">
        <v>21</v>
      </c>
      <c r="L24">
        <f t="shared" si="42"/>
        <v>6.6456692913385837E-2</v>
      </c>
      <c r="M24">
        <f t="shared" si="43"/>
        <v>0.13291338582677167</v>
      </c>
      <c r="N24">
        <f t="shared" si="44"/>
        <v>0.19937007874015747</v>
      </c>
      <c r="O24">
        <f t="shared" si="45"/>
        <v>0.26582677165354335</v>
      </c>
      <c r="P24">
        <f t="shared" si="46"/>
        <v>0.33228346456692914</v>
      </c>
      <c r="Q24">
        <f t="shared" si="47"/>
        <v>0.39874015748031494</v>
      </c>
      <c r="R24">
        <f t="shared" si="48"/>
        <v>0.46519685039370079</v>
      </c>
      <c r="S24">
        <f t="shared" si="49"/>
        <v>0.5316535433070867</v>
      </c>
      <c r="T24">
        <f t="shared" si="50"/>
        <v>0.59811023622047244</v>
      </c>
      <c r="U24">
        <f t="shared" si="51"/>
        <v>0.66456692913385829</v>
      </c>
      <c r="V24">
        <f t="shared" si="52"/>
        <v>0.73102362204724414</v>
      </c>
      <c r="W24">
        <f t="shared" si="53"/>
        <v>0.79748031496062988</v>
      </c>
      <c r="X24">
        <f t="shared" si="54"/>
        <v>0.86393700787401584</v>
      </c>
      <c r="Y24">
        <f t="shared" si="55"/>
        <v>0.93039370078740158</v>
      </c>
      <c r="Z24">
        <f t="shared" si="56"/>
        <v>0.99685039370078743</v>
      </c>
      <c r="AA24">
        <f t="shared" si="57"/>
        <v>1.0633070866141734</v>
      </c>
      <c r="AB24">
        <f t="shared" si="58"/>
        <v>1.129763779527559</v>
      </c>
      <c r="AC24">
        <f t="shared" si="59"/>
        <v>1.1962204724409449</v>
      </c>
      <c r="AD24">
        <f t="shared" si="60"/>
        <v>1.2626771653543307</v>
      </c>
      <c r="AE24">
        <f t="shared" si="61"/>
        <v>1.3291338582677166</v>
      </c>
      <c r="AF24">
        <f t="shared" si="62"/>
        <v>1.3955905511811024</v>
      </c>
      <c r="AG24">
        <f t="shared" si="63"/>
        <v>1.4620472440944883</v>
      </c>
      <c r="AH24">
        <f t="shared" si="64"/>
        <v>1.5285039370078739</v>
      </c>
      <c r="AI24">
        <f t="shared" si="65"/>
        <v>1.5949606299212598</v>
      </c>
      <c r="AJ24">
        <f t="shared" si="66"/>
        <v>1.6614173228346458</v>
      </c>
      <c r="AK24">
        <f t="shared" si="67"/>
        <v>1.7278740157480317</v>
      </c>
      <c r="AL24">
        <f t="shared" si="68"/>
        <v>1.7943307086614175</v>
      </c>
      <c r="AM24">
        <f t="shared" si="69"/>
        <v>1.8607874015748032</v>
      </c>
      <c r="AN24">
        <f t="shared" si="70"/>
        <v>1.927244094488189</v>
      </c>
      <c r="AO24">
        <f t="shared" si="71"/>
        <v>1.9937007874015749</v>
      </c>
      <c r="AP24">
        <f t="shared" si="72"/>
        <v>2.0601574803149609</v>
      </c>
      <c r="AQ24">
        <f t="shared" si="73"/>
        <v>2.1266141732283468</v>
      </c>
      <c r="AR24">
        <f t="shared" si="74"/>
        <v>2.1930708661417322</v>
      </c>
      <c r="AS24">
        <f t="shared" si="75"/>
        <v>2.259527559055118</v>
      </c>
      <c r="AT24">
        <f t="shared" si="76"/>
        <v>2.3259842519685039</v>
      </c>
      <c r="AU24">
        <f t="shared" si="77"/>
        <v>2.3924409448818897</v>
      </c>
      <c r="AV24">
        <f t="shared" si="78"/>
        <v>2.4588976377952756</v>
      </c>
      <c r="AW24">
        <f t="shared" si="79"/>
        <v>2.5253543307086614</v>
      </c>
      <c r="AX24">
        <f t="shared" si="80"/>
        <v>2.5918110236220473</v>
      </c>
      <c r="AY24">
        <f t="shared" si="81"/>
        <v>2.6582677165354331</v>
      </c>
    </row>
    <row r="25" spans="2:51" x14ac:dyDescent="0.6">
      <c r="B25">
        <v>380</v>
      </c>
      <c r="C25">
        <v>7469.71</v>
      </c>
      <c r="D25">
        <v>1.5520000000000001E-2</v>
      </c>
      <c r="F25">
        <f t="shared" si="21"/>
        <v>653</v>
      </c>
      <c r="G25">
        <f t="shared" si="0"/>
        <v>6.1353875488000011E-3</v>
      </c>
      <c r="H25">
        <f t="shared" si="1"/>
        <v>1.0283464566929135</v>
      </c>
      <c r="I25">
        <f t="shared" si="22"/>
        <v>1.1658976153436499E-2</v>
      </c>
      <c r="K25">
        <v>22</v>
      </c>
      <c r="L25">
        <f t="shared" si="42"/>
        <v>6.7506561679790036E-2</v>
      </c>
      <c r="M25">
        <f t="shared" si="43"/>
        <v>0.13501312335958007</v>
      </c>
      <c r="N25">
        <f t="shared" si="44"/>
        <v>0.2025196850393701</v>
      </c>
      <c r="O25">
        <f t="shared" si="45"/>
        <v>0.27002624671916015</v>
      </c>
      <c r="P25">
        <f t="shared" si="46"/>
        <v>0.33753280839895017</v>
      </c>
      <c r="Q25">
        <f t="shared" si="47"/>
        <v>0.40503937007874019</v>
      </c>
      <c r="R25">
        <f t="shared" si="48"/>
        <v>0.47254593175853021</v>
      </c>
      <c r="S25">
        <f t="shared" si="49"/>
        <v>0.54005249343832029</v>
      </c>
      <c r="T25">
        <f t="shared" si="50"/>
        <v>0.60755905511811037</v>
      </c>
      <c r="U25">
        <f t="shared" si="51"/>
        <v>0.67506561679790034</v>
      </c>
      <c r="V25">
        <f t="shared" si="52"/>
        <v>0.74257217847769041</v>
      </c>
      <c r="W25">
        <f t="shared" si="53"/>
        <v>0.81007874015748038</v>
      </c>
      <c r="X25">
        <f t="shared" si="54"/>
        <v>0.87758530183727046</v>
      </c>
      <c r="Y25">
        <f t="shared" si="55"/>
        <v>0.94509186351706043</v>
      </c>
      <c r="Z25">
        <f t="shared" si="56"/>
        <v>1.0125984251968505</v>
      </c>
      <c r="AA25">
        <f t="shared" si="57"/>
        <v>1.0801049868766406</v>
      </c>
      <c r="AB25">
        <f t="shared" si="58"/>
        <v>1.1476115485564304</v>
      </c>
      <c r="AC25">
        <f t="shared" si="59"/>
        <v>1.2151181102362207</v>
      </c>
      <c r="AD25">
        <f t="shared" si="60"/>
        <v>1.2826246719160106</v>
      </c>
      <c r="AE25">
        <f t="shared" si="61"/>
        <v>1.3501312335958007</v>
      </c>
      <c r="AF25">
        <f t="shared" si="62"/>
        <v>1.4176377952755908</v>
      </c>
      <c r="AG25">
        <f t="shared" si="63"/>
        <v>1.4851443569553808</v>
      </c>
      <c r="AH25">
        <f t="shared" si="64"/>
        <v>1.5526509186351707</v>
      </c>
      <c r="AI25">
        <f t="shared" si="65"/>
        <v>1.6201574803149608</v>
      </c>
      <c r="AJ25">
        <f t="shared" si="66"/>
        <v>1.6876640419947508</v>
      </c>
      <c r="AK25">
        <f t="shared" si="67"/>
        <v>1.7551706036745409</v>
      </c>
      <c r="AL25">
        <f t="shared" si="68"/>
        <v>1.822677165354331</v>
      </c>
      <c r="AM25">
        <f t="shared" si="69"/>
        <v>1.8901837270341209</v>
      </c>
      <c r="AN25">
        <f t="shared" si="70"/>
        <v>1.9576902887139109</v>
      </c>
      <c r="AO25">
        <f t="shared" si="71"/>
        <v>2.025196850393701</v>
      </c>
      <c r="AP25">
        <f t="shared" si="72"/>
        <v>2.0927034120734911</v>
      </c>
      <c r="AQ25">
        <f t="shared" si="73"/>
        <v>2.1602099737532812</v>
      </c>
      <c r="AR25">
        <f t="shared" si="74"/>
        <v>2.2277165354330708</v>
      </c>
      <c r="AS25">
        <f t="shared" si="75"/>
        <v>2.2952230971128609</v>
      </c>
      <c r="AT25">
        <f t="shared" si="76"/>
        <v>2.3627296587926514</v>
      </c>
      <c r="AU25">
        <f t="shared" si="77"/>
        <v>2.4302362204724415</v>
      </c>
      <c r="AV25">
        <f t="shared" si="78"/>
        <v>2.4977427821522316</v>
      </c>
      <c r="AW25">
        <f t="shared" si="79"/>
        <v>2.5652493438320212</v>
      </c>
      <c r="AX25">
        <f t="shared" si="80"/>
        <v>2.6327559055118113</v>
      </c>
      <c r="AY25">
        <f t="shared" si="81"/>
        <v>2.7002624671916013</v>
      </c>
    </row>
    <row r="26" spans="2:51" x14ac:dyDescent="0.6">
      <c r="B26">
        <v>390</v>
      </c>
      <c r="C26">
        <v>7470.2</v>
      </c>
      <c r="D26">
        <v>1.5610000000000001E-2</v>
      </c>
      <c r="F26">
        <f t="shared" si="21"/>
        <v>663</v>
      </c>
      <c r="G26">
        <f t="shared" si="0"/>
        <v>6.2253875488000009E-3</v>
      </c>
      <c r="H26">
        <f t="shared" si="1"/>
        <v>1.0440944881889764</v>
      </c>
      <c r="I26">
        <f t="shared" si="22"/>
        <v>1.1830001674719912E-2</v>
      </c>
      <c r="K26">
        <v>23</v>
      </c>
      <c r="L26">
        <f t="shared" si="42"/>
        <v>6.8556430446194236E-2</v>
      </c>
      <c r="M26">
        <f t="shared" si="43"/>
        <v>0.13711286089238847</v>
      </c>
      <c r="N26">
        <f t="shared" si="44"/>
        <v>0.20566929133858267</v>
      </c>
      <c r="O26">
        <f t="shared" si="45"/>
        <v>0.27422572178477694</v>
      </c>
      <c r="P26">
        <f t="shared" si="46"/>
        <v>0.34278215223097114</v>
      </c>
      <c r="Q26">
        <f t="shared" si="47"/>
        <v>0.41133858267716533</v>
      </c>
      <c r="R26">
        <f t="shared" si="48"/>
        <v>0.47989501312335958</v>
      </c>
      <c r="S26">
        <f t="shared" si="49"/>
        <v>0.54845144356955389</v>
      </c>
      <c r="T26">
        <f t="shared" si="50"/>
        <v>0.61700787401574808</v>
      </c>
      <c r="U26">
        <f t="shared" si="51"/>
        <v>0.68556430446194228</v>
      </c>
      <c r="V26">
        <f t="shared" si="52"/>
        <v>0.75412073490813658</v>
      </c>
      <c r="W26">
        <f t="shared" si="53"/>
        <v>0.82267716535433066</v>
      </c>
      <c r="X26">
        <f t="shared" si="54"/>
        <v>0.89123359580052497</v>
      </c>
      <c r="Y26">
        <f t="shared" si="55"/>
        <v>0.95979002624671916</v>
      </c>
      <c r="Z26">
        <f t="shared" si="56"/>
        <v>1.0283464566929135</v>
      </c>
      <c r="AA26">
        <f t="shared" si="57"/>
        <v>1.0969028871391078</v>
      </c>
      <c r="AB26">
        <f t="shared" si="58"/>
        <v>1.1654593175853019</v>
      </c>
      <c r="AC26">
        <f t="shared" si="59"/>
        <v>1.2340157480314962</v>
      </c>
      <c r="AD26">
        <f t="shared" si="60"/>
        <v>1.3025721784776902</v>
      </c>
      <c r="AE26">
        <f t="shared" si="61"/>
        <v>1.3711286089238846</v>
      </c>
      <c r="AF26">
        <f t="shared" si="62"/>
        <v>1.4396850393700789</v>
      </c>
      <c r="AG26">
        <f t="shared" si="63"/>
        <v>1.5082414698162732</v>
      </c>
      <c r="AH26">
        <f t="shared" si="64"/>
        <v>1.576797900262467</v>
      </c>
      <c r="AI26">
        <f t="shared" si="65"/>
        <v>1.6453543307086613</v>
      </c>
      <c r="AJ26">
        <f t="shared" si="66"/>
        <v>1.7139107611548556</v>
      </c>
      <c r="AK26">
        <f t="shared" si="67"/>
        <v>1.7824671916010499</v>
      </c>
      <c r="AL26">
        <f t="shared" si="68"/>
        <v>1.8510236220472442</v>
      </c>
      <c r="AM26">
        <f t="shared" si="69"/>
        <v>1.9195800524934383</v>
      </c>
      <c r="AN26">
        <f t="shared" si="70"/>
        <v>1.9881364829396326</v>
      </c>
      <c r="AO26">
        <f t="shared" si="71"/>
        <v>2.0566929133858269</v>
      </c>
      <c r="AP26">
        <f t="shared" si="72"/>
        <v>2.1252493438320212</v>
      </c>
      <c r="AQ26">
        <f t="shared" si="73"/>
        <v>2.1938057742782155</v>
      </c>
      <c r="AR26">
        <f t="shared" si="74"/>
        <v>2.2623622047244094</v>
      </c>
      <c r="AS26">
        <f t="shared" si="75"/>
        <v>2.3309186351706037</v>
      </c>
      <c r="AT26">
        <f t="shared" si="76"/>
        <v>2.399475065616798</v>
      </c>
      <c r="AU26">
        <f t="shared" si="77"/>
        <v>2.4680314960629923</v>
      </c>
      <c r="AV26">
        <f t="shared" si="78"/>
        <v>2.5365879265091866</v>
      </c>
      <c r="AW26">
        <f t="shared" si="79"/>
        <v>2.6051443569553805</v>
      </c>
      <c r="AX26">
        <f t="shared" si="80"/>
        <v>2.6737007874015748</v>
      </c>
      <c r="AY26">
        <f t="shared" si="81"/>
        <v>2.7422572178477691</v>
      </c>
    </row>
    <row r="27" spans="2:51" x14ac:dyDescent="0.6">
      <c r="B27">
        <v>400</v>
      </c>
      <c r="C27">
        <v>7470.2</v>
      </c>
      <c r="D27">
        <v>1.6619999999999999E-2</v>
      </c>
      <c r="F27">
        <f t="shared" si="21"/>
        <v>673</v>
      </c>
      <c r="G27">
        <f t="shared" si="0"/>
        <v>7.2353875487999996E-3</v>
      </c>
      <c r="H27">
        <f t="shared" si="1"/>
        <v>1.0598425196850394</v>
      </c>
      <c r="I27">
        <f t="shared" si="22"/>
        <v>1.3749288080233773E-2</v>
      </c>
      <c r="K27">
        <v>24</v>
      </c>
      <c r="L27">
        <f t="shared" si="42"/>
        <v>6.9606299212598421E-2</v>
      </c>
      <c r="M27">
        <f t="shared" si="43"/>
        <v>0.13921259842519684</v>
      </c>
      <c r="N27">
        <f t="shared" si="44"/>
        <v>0.20881889763779526</v>
      </c>
      <c r="O27">
        <f t="shared" si="45"/>
        <v>0.27842519685039369</v>
      </c>
      <c r="P27">
        <f t="shared" si="46"/>
        <v>0.34803149606299211</v>
      </c>
      <c r="Q27">
        <f t="shared" si="47"/>
        <v>0.41763779527559053</v>
      </c>
      <c r="R27">
        <f t="shared" si="48"/>
        <v>0.48724409448818889</v>
      </c>
      <c r="S27">
        <f t="shared" si="49"/>
        <v>0.55685039370078737</v>
      </c>
      <c r="T27">
        <f t="shared" si="50"/>
        <v>0.62645669291338579</v>
      </c>
      <c r="U27">
        <f t="shared" si="51"/>
        <v>0.69606299212598421</v>
      </c>
      <c r="V27">
        <f t="shared" si="52"/>
        <v>0.76566929133858275</v>
      </c>
      <c r="W27">
        <f t="shared" si="53"/>
        <v>0.83527559055118106</v>
      </c>
      <c r="X27">
        <f t="shared" si="54"/>
        <v>0.90488188976377948</v>
      </c>
      <c r="Y27">
        <f t="shared" si="55"/>
        <v>0.97448818897637779</v>
      </c>
      <c r="Z27">
        <f t="shared" si="56"/>
        <v>1.0440944881889762</v>
      </c>
      <c r="AA27">
        <f t="shared" si="57"/>
        <v>1.1137007874015747</v>
      </c>
      <c r="AB27">
        <f t="shared" si="58"/>
        <v>1.1833070866141731</v>
      </c>
      <c r="AC27">
        <f t="shared" si="59"/>
        <v>1.2529133858267716</v>
      </c>
      <c r="AD27">
        <f t="shared" si="60"/>
        <v>1.3225196850393699</v>
      </c>
      <c r="AE27">
        <f t="shared" si="61"/>
        <v>1.3921259842519684</v>
      </c>
      <c r="AF27">
        <f t="shared" si="62"/>
        <v>1.461732283464567</v>
      </c>
      <c r="AG27">
        <f t="shared" si="63"/>
        <v>1.5313385826771655</v>
      </c>
      <c r="AH27">
        <f t="shared" si="64"/>
        <v>1.6009448818897636</v>
      </c>
      <c r="AI27">
        <f t="shared" si="65"/>
        <v>1.6705511811023621</v>
      </c>
      <c r="AJ27">
        <f t="shared" si="66"/>
        <v>1.7401574803149606</v>
      </c>
      <c r="AK27">
        <f t="shared" si="67"/>
        <v>1.809763779527559</v>
      </c>
      <c r="AL27">
        <f t="shared" si="68"/>
        <v>1.8793700787401575</v>
      </c>
      <c r="AM27">
        <f t="shared" si="69"/>
        <v>1.9489763779527556</v>
      </c>
      <c r="AN27">
        <f t="shared" si="70"/>
        <v>2.0185826771653543</v>
      </c>
      <c r="AO27">
        <f t="shared" si="71"/>
        <v>2.0881889763779524</v>
      </c>
      <c r="AP27">
        <f t="shared" si="72"/>
        <v>2.157795275590551</v>
      </c>
      <c r="AQ27">
        <f t="shared" si="73"/>
        <v>2.2274015748031495</v>
      </c>
      <c r="AR27">
        <f t="shared" si="74"/>
        <v>2.2970078740157476</v>
      </c>
      <c r="AS27">
        <f t="shared" si="75"/>
        <v>2.3666141732283461</v>
      </c>
      <c r="AT27">
        <f t="shared" si="76"/>
        <v>2.4362204724409446</v>
      </c>
      <c r="AU27">
        <f t="shared" si="77"/>
        <v>2.5058267716535432</v>
      </c>
      <c r="AV27">
        <f t="shared" si="78"/>
        <v>2.5754330708661417</v>
      </c>
      <c r="AW27">
        <f t="shared" si="79"/>
        <v>2.6450393700787398</v>
      </c>
      <c r="AX27">
        <f t="shared" si="80"/>
        <v>2.7146456692913383</v>
      </c>
      <c r="AY27">
        <f t="shared" si="81"/>
        <v>2.7842519685039369</v>
      </c>
    </row>
    <row r="28" spans="2:51" x14ac:dyDescent="0.6">
      <c r="C28">
        <f>(C3+C4+C5+C6+C7+C8+C9+C10+C11+C12+C13+C14+C15+C16+C17+C18+C19+C20+C21+C22+C23+C24+C25+C26+C27)/25</f>
        <v>7471.8252000000002</v>
      </c>
    </row>
    <row r="29" spans="2:51" x14ac:dyDescent="0.6">
      <c r="H29" t="s">
        <v>8</v>
      </c>
      <c r="I29" t="s">
        <v>9</v>
      </c>
    </row>
    <row r="30" spans="2:51" x14ac:dyDescent="0.6">
      <c r="H30">
        <f>G3/0.95</f>
        <v>0.52623725005136845</v>
      </c>
      <c r="I30">
        <v>635</v>
      </c>
    </row>
    <row r="32" spans="2:51" x14ac:dyDescent="0.6">
      <c r="B32" t="s">
        <v>14</v>
      </c>
      <c r="C32" t="s">
        <v>38</v>
      </c>
    </row>
    <row r="33" spans="1:3" x14ac:dyDescent="0.6">
      <c r="A33">
        <v>1</v>
      </c>
      <c r="B33">
        <v>3.1</v>
      </c>
      <c r="C33">
        <f>3/2*_xlfn.COTH(3/2*B33)-1/2*_xlfn.COTH(1/2*B33)</f>
        <v>0.95309992763002993</v>
      </c>
    </row>
    <row r="34" spans="1:3" x14ac:dyDescent="0.6">
      <c r="A34">
        <v>2</v>
      </c>
      <c r="B34">
        <v>2.75</v>
      </c>
      <c r="C34">
        <f t="shared" ref="C34:C48" si="82">3/2*_xlfn.COTH(3/2*B34)-1/2*_xlfn.COTH(1/2*B34)</f>
        <v>0.93249024696875105</v>
      </c>
    </row>
    <row r="35" spans="1:3" x14ac:dyDescent="0.6">
      <c r="A35">
        <v>3</v>
      </c>
      <c r="B35">
        <v>2.4500000000000002</v>
      </c>
      <c r="C35">
        <f t="shared" si="82"/>
        <v>0.90748556608195807</v>
      </c>
    </row>
    <row r="36" spans="1:3" x14ac:dyDescent="0.6">
      <c r="A36">
        <v>4</v>
      </c>
      <c r="B36">
        <v>2.2000000000000002</v>
      </c>
      <c r="C36">
        <f t="shared" si="82"/>
        <v>0.87947628119486443</v>
      </c>
    </row>
    <row r="37" spans="1:3" x14ac:dyDescent="0.6">
      <c r="A37">
        <v>5</v>
      </c>
      <c r="B37">
        <v>1.9</v>
      </c>
      <c r="C37">
        <f t="shared" si="82"/>
        <v>0.83419777130616068</v>
      </c>
    </row>
    <row r="38" spans="1:3" x14ac:dyDescent="0.6">
      <c r="A38">
        <v>6</v>
      </c>
      <c r="B38">
        <v>1.7</v>
      </c>
      <c r="C38">
        <f t="shared" si="82"/>
        <v>0.79488617209213397</v>
      </c>
    </row>
    <row r="39" spans="1:3" x14ac:dyDescent="0.6">
      <c r="A39">
        <v>7</v>
      </c>
      <c r="B39">
        <v>1.5</v>
      </c>
      <c r="C39">
        <f t="shared" si="82"/>
        <v>0.74648446131858837</v>
      </c>
    </row>
    <row r="40" spans="1:3" x14ac:dyDescent="0.6">
      <c r="A40">
        <v>8</v>
      </c>
      <c r="B40">
        <v>1.3</v>
      </c>
      <c r="C40">
        <f t="shared" si="82"/>
        <v>0.68734981427020558</v>
      </c>
    </row>
    <row r="41" spans="1:3" x14ac:dyDescent="0.6">
      <c r="A41">
        <v>9</v>
      </c>
      <c r="B41">
        <v>1.2</v>
      </c>
      <c r="C41">
        <f t="shared" si="82"/>
        <v>0.65326108172844422</v>
      </c>
    </row>
    <row r="42" spans="1:3" x14ac:dyDescent="0.6">
      <c r="A42">
        <v>11</v>
      </c>
      <c r="B42">
        <v>1.1000000000000001</v>
      </c>
      <c r="C42">
        <f t="shared" si="82"/>
        <v>0.61592623580275463</v>
      </c>
    </row>
    <row r="43" spans="1:3" x14ac:dyDescent="0.6">
      <c r="A43">
        <v>14</v>
      </c>
      <c r="B43">
        <v>0.9</v>
      </c>
      <c r="C43">
        <f t="shared" si="82"/>
        <v>0.53102475576634167</v>
      </c>
    </row>
    <row r="44" spans="1:3" x14ac:dyDescent="0.6">
      <c r="A44">
        <v>15</v>
      </c>
      <c r="B44">
        <v>0.8</v>
      </c>
      <c r="C44">
        <f t="shared" si="82"/>
        <v>0.48334009537243205</v>
      </c>
    </row>
    <row r="45" spans="1:3" x14ac:dyDescent="0.6">
      <c r="A45">
        <v>17</v>
      </c>
      <c r="B45">
        <v>0.65</v>
      </c>
      <c r="C45">
        <f t="shared" si="82"/>
        <v>0.40537016577615903</v>
      </c>
    </row>
    <row r="46" spans="1:3" x14ac:dyDescent="0.6">
      <c r="A46">
        <v>18</v>
      </c>
      <c r="B46">
        <v>0.55000000000000004</v>
      </c>
      <c r="C46">
        <f t="shared" si="82"/>
        <v>0.34931491134606651</v>
      </c>
    </row>
    <row r="47" spans="1:3" x14ac:dyDescent="0.6">
      <c r="A47">
        <v>19</v>
      </c>
      <c r="B47">
        <v>0.45</v>
      </c>
      <c r="C47">
        <f t="shared" si="82"/>
        <v>0.29029986088474624</v>
      </c>
    </row>
    <row r="48" spans="1:3" x14ac:dyDescent="0.6">
      <c r="A48">
        <v>20</v>
      </c>
      <c r="B48">
        <v>0.35</v>
      </c>
      <c r="C48">
        <f t="shared" si="82"/>
        <v>0.22869249121566471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69E6-2D8C-4693-9247-86C984094ADF}">
  <dimension ref="A1:DL51"/>
  <sheetViews>
    <sheetView topLeftCell="A31" zoomScale="70" zoomScaleNormal="70" workbookViewId="0">
      <selection activeCell="A40" sqref="A40:C40"/>
    </sheetView>
  </sheetViews>
  <sheetFormatPr defaultRowHeight="20" x14ac:dyDescent="0.6"/>
  <cols>
    <col min="3" max="3" width="13.23046875" customWidth="1"/>
    <col min="11" max="11" width="19.07421875" customWidth="1"/>
  </cols>
  <sheetData>
    <row r="1" spans="2:116" x14ac:dyDescent="0.6">
      <c r="K1" t="s">
        <v>14</v>
      </c>
      <c r="L1">
        <v>0.1</v>
      </c>
      <c r="M1">
        <v>0.2</v>
      </c>
      <c r="N1">
        <v>0.3</v>
      </c>
      <c r="O1">
        <v>0.4</v>
      </c>
      <c r="P1">
        <v>0.5</v>
      </c>
      <c r="Q1">
        <v>0.6</v>
      </c>
      <c r="R1">
        <v>0.7</v>
      </c>
      <c r="S1">
        <v>0.8</v>
      </c>
      <c r="T1">
        <v>0.9</v>
      </c>
      <c r="U1">
        <v>1</v>
      </c>
      <c r="V1">
        <v>1.1000000000000001</v>
      </c>
      <c r="W1">
        <v>1.2</v>
      </c>
      <c r="X1">
        <v>1.3</v>
      </c>
      <c r="Y1">
        <v>1.4</v>
      </c>
      <c r="Z1">
        <v>1.5</v>
      </c>
      <c r="AA1">
        <v>1.6</v>
      </c>
      <c r="AB1">
        <v>1.7</v>
      </c>
      <c r="AC1">
        <v>1.8</v>
      </c>
      <c r="AD1">
        <v>1.9</v>
      </c>
      <c r="AE1">
        <v>2</v>
      </c>
      <c r="AF1">
        <v>2.1</v>
      </c>
      <c r="AG1">
        <v>2.2000000000000002</v>
      </c>
      <c r="AH1">
        <v>2.2999999999999998</v>
      </c>
      <c r="AI1">
        <v>2.4</v>
      </c>
      <c r="AJ1">
        <v>2.5</v>
      </c>
      <c r="AK1">
        <v>2.6</v>
      </c>
      <c r="AL1">
        <v>2.7</v>
      </c>
      <c r="AM1">
        <v>2.8</v>
      </c>
      <c r="AN1">
        <v>2.9</v>
      </c>
      <c r="AO1">
        <v>3</v>
      </c>
      <c r="AP1">
        <v>3.1</v>
      </c>
      <c r="AQ1">
        <v>3.2</v>
      </c>
      <c r="AR1">
        <v>3.3</v>
      </c>
      <c r="AS1">
        <v>3.4</v>
      </c>
      <c r="AT1">
        <v>3.5</v>
      </c>
      <c r="AU1">
        <v>3.6</v>
      </c>
      <c r="AV1">
        <v>3.7</v>
      </c>
      <c r="AW1">
        <v>3.8</v>
      </c>
      <c r="AX1">
        <v>3.9</v>
      </c>
      <c r="AY1">
        <v>4</v>
      </c>
      <c r="AZ1">
        <v>4.0999999999999996</v>
      </c>
      <c r="BA1">
        <v>4.2</v>
      </c>
      <c r="BB1">
        <v>4.3</v>
      </c>
      <c r="BC1">
        <v>4.4000000000000004</v>
      </c>
      <c r="BD1">
        <v>4.5</v>
      </c>
      <c r="BE1">
        <v>4.5999999999999996</v>
      </c>
      <c r="BF1">
        <v>4.7</v>
      </c>
      <c r="BG1">
        <v>4.8</v>
      </c>
      <c r="BH1">
        <v>4.9000000000000004</v>
      </c>
      <c r="BI1">
        <v>5</v>
      </c>
      <c r="BJ1">
        <v>5.0999999999999996</v>
      </c>
      <c r="BK1">
        <v>5.2</v>
      </c>
      <c r="BL1">
        <v>5.3</v>
      </c>
      <c r="BM1">
        <v>5.4</v>
      </c>
      <c r="BN1">
        <v>5.5</v>
      </c>
      <c r="BO1">
        <v>5.6</v>
      </c>
      <c r="BP1">
        <v>5.7</v>
      </c>
      <c r="BQ1">
        <v>5.8</v>
      </c>
      <c r="BR1">
        <v>5.9</v>
      </c>
      <c r="BS1">
        <v>6</v>
      </c>
      <c r="BT1">
        <v>6.1</v>
      </c>
      <c r="BU1">
        <v>6.2</v>
      </c>
      <c r="BV1">
        <v>6.3</v>
      </c>
      <c r="BW1">
        <v>6.4</v>
      </c>
      <c r="BX1">
        <v>6.5</v>
      </c>
      <c r="BY1">
        <v>6.6000000000000103</v>
      </c>
      <c r="BZ1">
        <v>6.7000000000000099</v>
      </c>
      <c r="CA1">
        <v>6.8000000000000096</v>
      </c>
      <c r="CB1">
        <v>6.9000000000000101</v>
      </c>
      <c r="CC1">
        <v>7.0000000000000098</v>
      </c>
      <c r="CD1">
        <v>7.1000000000000103</v>
      </c>
      <c r="CE1">
        <v>7.2000000000000099</v>
      </c>
      <c r="CF1">
        <v>7.3000000000000096</v>
      </c>
      <c r="CG1">
        <v>7.4000000000000101</v>
      </c>
      <c r="CH1">
        <v>7.5000000000000098</v>
      </c>
      <c r="CI1">
        <v>7.6000000000000103</v>
      </c>
      <c r="CJ1">
        <v>7.7000000000000099</v>
      </c>
      <c r="CK1">
        <v>7.8000000000000096</v>
      </c>
      <c r="CL1">
        <v>7.9000000000000101</v>
      </c>
      <c r="CM1">
        <v>8.0000000000000107</v>
      </c>
      <c r="CN1">
        <v>8.1000000000000103</v>
      </c>
      <c r="CO1">
        <v>8.2000000000000099</v>
      </c>
      <c r="CP1">
        <v>8.3000000000000096</v>
      </c>
      <c r="CQ1">
        <v>8.4000000000000092</v>
      </c>
      <c r="CR1">
        <v>8.5000000000000195</v>
      </c>
      <c r="CS1">
        <v>8.6000000000000192</v>
      </c>
      <c r="CT1">
        <v>8.7000000000000206</v>
      </c>
      <c r="CU1">
        <v>8.8000000000000203</v>
      </c>
      <c r="CV1">
        <v>8.9000000000000199</v>
      </c>
      <c r="CW1">
        <v>9.0000000000000195</v>
      </c>
      <c r="CX1">
        <v>9.1000000000000192</v>
      </c>
      <c r="CY1">
        <v>9.2000000000000206</v>
      </c>
      <c r="CZ1">
        <v>9.3000000000000203</v>
      </c>
      <c r="DA1">
        <v>9.4000000000000199</v>
      </c>
      <c r="DB1">
        <v>9.5000000000000195</v>
      </c>
      <c r="DC1">
        <v>9.6000000000000192</v>
      </c>
      <c r="DD1">
        <v>9.7000000000000206</v>
      </c>
      <c r="DE1">
        <v>9.8000000000000203</v>
      </c>
      <c r="DF1">
        <v>9.9000000000000199</v>
      </c>
      <c r="DG1">
        <v>10</v>
      </c>
      <c r="DH1">
        <v>10.1</v>
      </c>
      <c r="DI1">
        <v>10.199999999999999</v>
      </c>
      <c r="DJ1">
        <v>10.3</v>
      </c>
      <c r="DK1">
        <v>10.4</v>
      </c>
      <c r="DL1">
        <v>10.5</v>
      </c>
    </row>
    <row r="2" spans="2:116" x14ac:dyDescent="0.6">
      <c r="B2" t="s">
        <v>6</v>
      </c>
      <c r="C2" t="s">
        <v>3</v>
      </c>
      <c r="D2" t="s">
        <v>4</v>
      </c>
      <c r="F2" t="s">
        <v>2</v>
      </c>
      <c r="G2" t="s">
        <v>7</v>
      </c>
      <c r="H2" t="s">
        <v>10</v>
      </c>
      <c r="I2" t="s">
        <v>11</v>
      </c>
      <c r="K2" t="s">
        <v>39</v>
      </c>
      <c r="L2">
        <f>_xlfn.COTH(L1)-1/(L1)</f>
        <v>3.3311132253988518E-2</v>
      </c>
      <c r="M2">
        <f t="shared" ref="M2:BX2" si="0">_xlfn.COTH(M1)-1/(M1)</f>
        <v>6.6489563439471766E-2</v>
      </c>
      <c r="N2">
        <f t="shared" si="0"/>
        <v>9.9405096988407937E-2</v>
      </c>
      <c r="O2">
        <f t="shared" si="0"/>
        <v>0.13193244183218811</v>
      </c>
      <c r="P2">
        <f t="shared" si="0"/>
        <v>0.16395341373865291</v>
      </c>
      <c r="Q2">
        <f t="shared" si="0"/>
        <v>0.19535885471999936</v>
      </c>
      <c r="R2">
        <f t="shared" si="0"/>
        <v>0.22605020723120051</v>
      </c>
      <c r="S2">
        <f t="shared" si="0"/>
        <v>0.25594070204370678</v>
      </c>
      <c r="T2">
        <f t="shared" si="0"/>
        <v>0.2849561419189004</v>
      </c>
      <c r="U2">
        <f t="shared" si="0"/>
        <v>0.31303528549933146</v>
      </c>
      <c r="V2">
        <f t="shared" si="0"/>
        <v>0.34012985547740338</v>
      </c>
      <c r="W2">
        <f t="shared" si="0"/>
        <v>0.36620421085901744</v>
      </c>
      <c r="X2">
        <f t="shared" si="0"/>
        <v>0.39123473432710676</v>
      </c>
      <c r="Y2">
        <f t="shared" si="0"/>
        <v>0.41520899217418228</v>
      </c>
      <c r="Z2">
        <f t="shared" si="0"/>
        <v>0.43812472631584531</v>
      </c>
      <c r="AA2">
        <f t="shared" si="0"/>
        <v>0.45998873615577796</v>
      </c>
      <c r="AB2">
        <f t="shared" si="0"/>
        <v>0.48081570338364543</v>
      </c>
      <c r="AC2">
        <f t="shared" si="0"/>
        <v>0.5006270060589626</v>
      </c>
      <c r="AD2">
        <f t="shared" si="0"/>
        <v>0.51944956044049484</v>
      </c>
      <c r="AE2">
        <f t="shared" si="0"/>
        <v>0.53731472072754793</v>
      </c>
      <c r="AF2">
        <f t="shared" si="0"/>
        <v>0.55425725879953125</v>
      </c>
      <c r="AG2">
        <f t="shared" si="0"/>
        <v>0.57031443861901643</v>
      </c>
      <c r="AH2">
        <f t="shared" si="0"/>
        <v>0.58552519348547405</v>
      </c>
      <c r="AI2">
        <f t="shared" si="0"/>
        <v>0.59992940893558644</v>
      </c>
      <c r="AJ2">
        <f t="shared" si="0"/>
        <v>0.61356730981260832</v>
      </c>
      <c r="AK2">
        <f t="shared" si="0"/>
        <v>0.62647894682020655</v>
      </c>
      <c r="AL2">
        <f t="shared" si="0"/>
        <v>0.63870377562974967</v>
      </c>
      <c r="AM2">
        <f t="shared" si="0"/>
        <v>0.65028032018822235</v>
      </c>
      <c r="AN2">
        <f t="shared" si="0"/>
        <v>0.66124591112953723</v>
      </c>
      <c r="AO2">
        <f t="shared" si="0"/>
        <v>0.67163648998035574</v>
      </c>
      <c r="AP2">
        <f t="shared" si="0"/>
        <v>0.68148647003949092</v>
      </c>
      <c r="AQ2">
        <f t="shared" si="0"/>
        <v>0.69082864528112453</v>
      </c>
      <c r="AR2">
        <f t="shared" si="0"/>
        <v>0.69969413928904411</v>
      </c>
      <c r="AS2">
        <f t="shared" si="0"/>
        <v>0.70811238699337209</v>
      </c>
      <c r="AT2">
        <f t="shared" si="0"/>
        <v>0.71611114279215771</v>
      </c>
      <c r="AU2">
        <f t="shared" si="0"/>
        <v>0.72371650945261534</v>
      </c>
      <c r="AV2">
        <f t="shared" si="0"/>
        <v>0.73095298296890898</v>
      </c>
      <c r="AW2">
        <f t="shared" si="0"/>
        <v>0.73784350928411691</v>
      </c>
      <c r="AX2">
        <f t="shared" si="0"/>
        <v>0.74440954945084026</v>
      </c>
      <c r="AY2">
        <f t="shared" si="0"/>
        <v>0.75067115040168253</v>
      </c>
      <c r="AZ2">
        <f t="shared" si="0"/>
        <v>0.75664701902616915</v>
      </c>
      <c r="BA2">
        <f t="shared" si="0"/>
        <v>0.76235459770649272</v>
      </c>
      <c r="BB2">
        <f t="shared" si="0"/>
        <v>0.76781013985482072</v>
      </c>
      <c r="BC2">
        <f t="shared" si="0"/>
        <v>0.77302878432523392</v>
      </c>
      <c r="BD2">
        <f t="shared" si="0"/>
        <v>0.77802462784967019</v>
      </c>
      <c r="BE2">
        <f t="shared" si="0"/>
        <v>0.78281079487583272</v>
      </c>
      <c r="BF2">
        <f t="shared" si="0"/>
        <v>0.78739950437197914</v>
      </c>
      <c r="BG2">
        <f t="shared" si="0"/>
        <v>0.79180213331463312</v>
      </c>
      <c r="BH2">
        <f t="shared" si="0"/>
        <v>0.79602927669590406</v>
      </c>
      <c r="BI2">
        <f t="shared" si="0"/>
        <v>0.80009080398201959</v>
      </c>
      <c r="BJ2">
        <f t="shared" si="0"/>
        <v>0.80399591202818699</v>
      </c>
      <c r="BK2">
        <f t="shared" si="0"/>
        <v>0.80775317451065298</v>
      </c>
      <c r="BL2">
        <f t="shared" si="0"/>
        <v>0.81137058797809014</v>
      </c>
      <c r="BM2">
        <f t="shared" si="0"/>
        <v>0.81485561465393364</v>
      </c>
      <c r="BN2">
        <f t="shared" si="0"/>
        <v>0.81821522214130149</v>
      </c>
      <c r="BO2">
        <f t="shared" si="0"/>
        <v>0.82145592019467495</v>
      </c>
      <c r="BP2">
        <f t="shared" si="0"/>
        <v>0.82458379472913779</v>
      </c>
      <c r="BQ2">
        <f t="shared" si="0"/>
        <v>0.82760453924006006</v>
      </c>
      <c r="BR2">
        <f t="shared" si="0"/>
        <v>0.83052348380473884</v>
      </c>
      <c r="BS2">
        <f t="shared" si="0"/>
        <v>0.83334562183354322</v>
      </c>
      <c r="BT2">
        <f t="shared" si="0"/>
        <v>0.83607563473231727</v>
      </c>
      <c r="BU2">
        <f t="shared" si="0"/>
        <v>0.83871791463069567</v>
      </c>
      <c r="BV2">
        <f t="shared" si="0"/>
        <v>0.84127658532305072</v>
      </c>
      <c r="BW2">
        <f t="shared" si="0"/>
        <v>0.84375552156038802</v>
      </c>
      <c r="BX2">
        <f t="shared" si="0"/>
        <v>0.84615836682287837</v>
      </c>
      <c r="BY2">
        <f t="shared" ref="BY2:DL2" si="1">_xlfn.COTH(BY1)-1/(BY1)</f>
        <v>0.84848854969409337</v>
      </c>
      <c r="BZ2">
        <f t="shared" si="1"/>
        <v>0.85074929894953222</v>
      </c>
      <c r="CA2">
        <f t="shared" si="1"/>
        <v>0.85294365746382594</v>
      </c>
      <c r="CB2">
        <f t="shared" si="1"/>
        <v>0.85507449503312105</v>
      </c>
      <c r="CC2">
        <f t="shared" si="1"/>
        <v>0.85714452020167842</v>
      </c>
      <c r="CD2">
        <f t="shared" si="1"/>
        <v>0.85915629117466064</v>
      </c>
      <c r="CE2">
        <f t="shared" si="1"/>
        <v>0.86111222589247116</v>
      </c>
      <c r="CF2">
        <f t="shared" si="1"/>
        <v>0.86301461133582702</v>
      </c>
      <c r="CG2">
        <f t="shared" si="1"/>
        <v>0.86486561212502011</v>
      </c>
      <c r="CH2">
        <f t="shared" si="1"/>
        <v>0.86666727847149494</v>
      </c>
      <c r="CI2">
        <f t="shared" si="1"/>
        <v>0.86842155353497896</v>
      </c>
      <c r="CJ2">
        <f t="shared" si="1"/>
        <v>0.8701302802348696</v>
      </c>
      <c r="CK2">
        <f t="shared" si="1"/>
        <v>0.87179520756043416</v>
      </c>
      <c r="CL2">
        <f t="shared" si="1"/>
        <v>0.87341799642057083</v>
      </c>
      <c r="CM2">
        <f t="shared" si="1"/>
        <v>0.875000225070375</v>
      </c>
      <c r="CN2">
        <f t="shared" si="1"/>
        <v>0.87654339414857696</v>
      </c>
      <c r="CO2">
        <f t="shared" si="1"/>
        <v>0.87804893135698348</v>
      </c>
      <c r="CP2">
        <f t="shared" si="1"/>
        <v>0.87951819581039115</v>
      </c>
      <c r="CQ2">
        <f t="shared" si="1"/>
        <v>0.88095248208301336</v>
      </c>
      <c r="CR2">
        <f t="shared" si="1"/>
        <v>0.88235302397522875</v>
      </c>
      <c r="CS2">
        <f t="shared" si="1"/>
        <v>0.88372099802244719</v>
      </c>
      <c r="CT2">
        <f t="shared" si="1"/>
        <v>0.88505752676603444</v>
      </c>
      <c r="CU2">
        <f t="shared" si="1"/>
        <v>0.88636368180455771</v>
      </c>
      <c r="CV2">
        <f t="shared" si="1"/>
        <v>0.88764048664208184</v>
      </c>
      <c r="CW2">
        <f t="shared" si="1"/>
        <v>0.88888891934884928</v>
      </c>
      <c r="CX2">
        <f t="shared" si="1"/>
        <v>0.89010991504839609</v>
      </c>
      <c r="CY2">
        <f t="shared" si="1"/>
        <v>0.89130436824400894</v>
      </c>
      <c r="CZ2">
        <f t="shared" si="1"/>
        <v>0.8924731349963505</v>
      </c>
      <c r="DA2">
        <f t="shared" si="1"/>
        <v>0.89361703496313805</v>
      </c>
      <c r="DB2">
        <f t="shared" si="1"/>
        <v>0.89473685331085651</v>
      </c>
      <c r="DC2">
        <f t="shared" si="1"/>
        <v>0.89583334250769697</v>
      </c>
      <c r="DD2">
        <f t="shared" si="1"/>
        <v>0.89690722400617917</v>
      </c>
      <c r="DE2">
        <f t="shared" si="1"/>
        <v>0.89795918982322964</v>
      </c>
      <c r="DF2">
        <f t="shared" si="1"/>
        <v>0.89898990402489676</v>
      </c>
      <c r="DG2">
        <f t="shared" si="1"/>
        <v>0.90000000412230741</v>
      </c>
      <c r="DH2">
        <f t="shared" si="1"/>
        <v>0.9009901023849608</v>
      </c>
      <c r="DI2">
        <f t="shared" si="1"/>
        <v>0.90196078707699068</v>
      </c>
      <c r="DJ2">
        <f t="shared" si="1"/>
        <v>0.90291262362159364</v>
      </c>
      <c r="DK2">
        <f t="shared" si="1"/>
        <v>0.90384615569842619</v>
      </c>
      <c r="DL2">
        <f t="shared" si="1"/>
        <v>0.90476190627841702</v>
      </c>
    </row>
    <row r="3" spans="2:116" x14ac:dyDescent="0.6">
      <c r="B3">
        <v>23</v>
      </c>
      <c r="C3">
        <v>7473.57</v>
      </c>
      <c r="D3">
        <v>0.50931000000000004</v>
      </c>
      <c r="F3">
        <f>B3+273</f>
        <v>296</v>
      </c>
      <c r="G3">
        <f t="shared" ref="G3:G27" si="2">D3-(4*3.14*(10^-7)*7471.8252)</f>
        <v>0.49992538754880006</v>
      </c>
      <c r="H3">
        <f t="shared" ref="H3:H27" si="3">F3/$I$30</f>
        <v>0.46614173228346456</v>
      </c>
      <c r="I3">
        <f>G3/0.52623725</f>
        <v>0.950000000092734</v>
      </c>
      <c r="K3">
        <v>1</v>
      </c>
      <c r="L3">
        <f>1/3*$H3*L$1</f>
        <v>1.5538057742782153E-2</v>
      </c>
      <c r="M3">
        <f>1/3*$H3*M$1</f>
        <v>3.1076115485564305E-2</v>
      </c>
      <c r="N3">
        <f t="shared" ref="N3:AY9" si="4">1/3*$H3*N$1</f>
        <v>4.6614173228346455E-2</v>
      </c>
      <c r="O3">
        <f t="shared" si="4"/>
        <v>6.2152230971128611E-2</v>
      </c>
      <c r="P3">
        <f t="shared" si="4"/>
        <v>7.769028871391076E-2</v>
      </c>
      <c r="Q3">
        <f t="shared" si="4"/>
        <v>9.3228346456692909E-2</v>
      </c>
      <c r="R3">
        <f t="shared" si="4"/>
        <v>0.10876640419947506</v>
      </c>
      <c r="S3">
        <f t="shared" si="4"/>
        <v>0.12430446194225722</v>
      </c>
      <c r="T3">
        <f t="shared" si="4"/>
        <v>0.13984251968503938</v>
      </c>
      <c r="U3">
        <f t="shared" si="4"/>
        <v>0.15538057742782152</v>
      </c>
      <c r="V3">
        <f t="shared" si="4"/>
        <v>0.17091863517060368</v>
      </c>
      <c r="W3">
        <f t="shared" si="4"/>
        <v>0.18645669291338582</v>
      </c>
      <c r="X3">
        <f t="shared" si="4"/>
        <v>0.20199475065616798</v>
      </c>
      <c r="Y3">
        <f t="shared" si="4"/>
        <v>0.21753280839895012</v>
      </c>
      <c r="Z3">
        <f t="shared" si="4"/>
        <v>0.23307086614173228</v>
      </c>
      <c r="AA3">
        <f t="shared" si="4"/>
        <v>0.24860892388451444</v>
      </c>
      <c r="AB3">
        <f t="shared" si="4"/>
        <v>0.26414698162729655</v>
      </c>
      <c r="AC3">
        <f t="shared" si="4"/>
        <v>0.27968503937007877</v>
      </c>
      <c r="AD3">
        <f t="shared" si="4"/>
        <v>0.29522309711286088</v>
      </c>
      <c r="AE3">
        <f t="shared" si="4"/>
        <v>0.31076115485564304</v>
      </c>
      <c r="AF3">
        <f t="shared" si="4"/>
        <v>0.3262992125984252</v>
      </c>
      <c r="AG3">
        <f t="shared" si="4"/>
        <v>0.34183727034120737</v>
      </c>
      <c r="AH3">
        <f t="shared" si="4"/>
        <v>0.35737532808398947</v>
      </c>
      <c r="AI3">
        <f t="shared" si="4"/>
        <v>0.37291338582677164</v>
      </c>
      <c r="AJ3">
        <f t="shared" si="4"/>
        <v>0.3884514435695538</v>
      </c>
      <c r="AK3">
        <f t="shared" si="4"/>
        <v>0.40398950131233596</v>
      </c>
      <c r="AL3">
        <f t="shared" si="4"/>
        <v>0.41952755905511813</v>
      </c>
      <c r="AM3">
        <f t="shared" si="4"/>
        <v>0.43506561679790023</v>
      </c>
      <c r="AN3">
        <f t="shared" si="4"/>
        <v>0.4506036745406824</v>
      </c>
      <c r="AO3">
        <f t="shared" si="4"/>
        <v>0.46614173228346456</v>
      </c>
      <c r="AP3">
        <f t="shared" si="4"/>
        <v>0.48167979002624672</v>
      </c>
      <c r="AQ3">
        <f t="shared" si="4"/>
        <v>0.49721784776902889</v>
      </c>
      <c r="AR3">
        <f t="shared" si="4"/>
        <v>0.51275590551181094</v>
      </c>
      <c r="AS3">
        <f t="shared" si="4"/>
        <v>0.5282939632545931</v>
      </c>
      <c r="AT3">
        <f t="shared" si="4"/>
        <v>0.54383202099737527</v>
      </c>
      <c r="AU3">
        <f t="shared" si="4"/>
        <v>0.55937007874015754</v>
      </c>
      <c r="AV3">
        <f t="shared" si="4"/>
        <v>0.5749081364829397</v>
      </c>
      <c r="AW3">
        <f t="shared" si="4"/>
        <v>0.59044619422572175</v>
      </c>
      <c r="AX3">
        <f t="shared" si="4"/>
        <v>0.60598425196850392</v>
      </c>
      <c r="AY3">
        <f t="shared" si="4"/>
        <v>0.62152230971128608</v>
      </c>
      <c r="AZ3">
        <f t="shared" ref="AZ3:DK9" si="5">1/3*$H3*AZ$1</f>
        <v>0.63706036745406813</v>
      </c>
      <c r="BA3">
        <f t="shared" si="5"/>
        <v>0.65259842519685041</v>
      </c>
      <c r="BB3">
        <f t="shared" si="5"/>
        <v>0.66813648293963246</v>
      </c>
      <c r="BC3">
        <f t="shared" si="5"/>
        <v>0.68367454068241473</v>
      </c>
      <c r="BD3">
        <f t="shared" si="5"/>
        <v>0.6992125984251969</v>
      </c>
      <c r="BE3">
        <f t="shared" si="5"/>
        <v>0.71475065616797895</v>
      </c>
      <c r="BF3">
        <f t="shared" si="5"/>
        <v>0.73028871391076122</v>
      </c>
      <c r="BG3">
        <f t="shared" si="5"/>
        <v>0.74582677165354327</v>
      </c>
      <c r="BH3">
        <f t="shared" si="5"/>
        <v>0.76136482939632555</v>
      </c>
      <c r="BI3">
        <f t="shared" si="5"/>
        <v>0.7769028871391076</v>
      </c>
      <c r="BJ3">
        <f t="shared" si="5"/>
        <v>0.79244094488188965</v>
      </c>
      <c r="BK3">
        <f t="shared" si="5"/>
        <v>0.80797900262467193</v>
      </c>
      <c r="BL3">
        <f t="shared" si="5"/>
        <v>0.82351706036745398</v>
      </c>
      <c r="BM3">
        <f t="shared" si="5"/>
        <v>0.83905511811023625</v>
      </c>
      <c r="BN3">
        <f t="shared" si="5"/>
        <v>0.85459317585301831</v>
      </c>
      <c r="BO3">
        <f t="shared" si="5"/>
        <v>0.87013123359580047</v>
      </c>
      <c r="BP3">
        <f t="shared" si="5"/>
        <v>0.88566929133858274</v>
      </c>
      <c r="BQ3">
        <f t="shared" si="5"/>
        <v>0.90120734908136479</v>
      </c>
      <c r="BR3">
        <f t="shared" si="5"/>
        <v>0.91674540682414707</v>
      </c>
      <c r="BS3">
        <f t="shared" si="5"/>
        <v>0.93228346456692912</v>
      </c>
      <c r="BT3">
        <f t="shared" si="5"/>
        <v>0.94782152230971117</v>
      </c>
      <c r="BU3">
        <f t="shared" si="5"/>
        <v>0.96335958005249345</v>
      </c>
      <c r="BV3">
        <f t="shared" si="5"/>
        <v>0.9788976377952755</v>
      </c>
      <c r="BW3">
        <f t="shared" si="5"/>
        <v>0.99443569553805777</v>
      </c>
      <c r="BX3">
        <f>1/3*$H3*BX$1</f>
        <v>1.0099737532808399</v>
      </c>
      <c r="BY3">
        <f t="shared" si="5"/>
        <v>1.0255118110236237</v>
      </c>
      <c r="BZ3">
        <f t="shared" si="5"/>
        <v>1.0410498687664058</v>
      </c>
      <c r="CA3">
        <f t="shared" si="5"/>
        <v>1.0565879265091878</v>
      </c>
      <c r="CB3">
        <f t="shared" si="5"/>
        <v>1.0721259842519701</v>
      </c>
      <c r="CC3">
        <f t="shared" si="5"/>
        <v>1.0876640419947521</v>
      </c>
      <c r="CD3">
        <f t="shared" si="5"/>
        <v>1.1032020997375345</v>
      </c>
      <c r="CE3">
        <f t="shared" si="5"/>
        <v>1.1187401574803164</v>
      </c>
      <c r="CF3">
        <f t="shared" si="5"/>
        <v>1.1342782152230986</v>
      </c>
      <c r="CG3">
        <f t="shared" si="5"/>
        <v>1.1498162729658807</v>
      </c>
      <c r="CH3">
        <f t="shared" si="5"/>
        <v>1.1653543307086629</v>
      </c>
      <c r="CI3">
        <f t="shared" si="5"/>
        <v>1.1808923884514451</v>
      </c>
      <c r="CJ3">
        <f t="shared" si="5"/>
        <v>1.1964304461942272</v>
      </c>
      <c r="CK3">
        <f t="shared" si="5"/>
        <v>1.2119685039370094</v>
      </c>
      <c r="CL3">
        <f t="shared" si="5"/>
        <v>1.2275065616797916</v>
      </c>
      <c r="CM3">
        <f t="shared" si="5"/>
        <v>1.2430446194225737</v>
      </c>
      <c r="CN3">
        <f t="shared" si="5"/>
        <v>1.2585826771653559</v>
      </c>
      <c r="CO3">
        <f t="shared" si="5"/>
        <v>1.274120734908138</v>
      </c>
      <c r="CP3">
        <f t="shared" si="5"/>
        <v>1.2896587926509202</v>
      </c>
      <c r="CQ3">
        <f t="shared" si="5"/>
        <v>1.3051968503937021</v>
      </c>
      <c r="CR3">
        <f t="shared" si="5"/>
        <v>1.3207349081364859</v>
      </c>
      <c r="CS3">
        <f t="shared" si="5"/>
        <v>1.336272965879268</v>
      </c>
      <c r="CT3">
        <f t="shared" si="5"/>
        <v>1.3518110236220504</v>
      </c>
      <c r="CU3">
        <f t="shared" si="5"/>
        <v>1.3673490813648326</v>
      </c>
      <c r="CV3">
        <f t="shared" si="5"/>
        <v>1.3828871391076145</v>
      </c>
      <c r="CW3">
        <f t="shared" si="5"/>
        <v>1.3984251968503967</v>
      </c>
      <c r="CX3">
        <f t="shared" si="5"/>
        <v>1.4139632545931788</v>
      </c>
      <c r="CY3">
        <f t="shared" si="5"/>
        <v>1.4295013123359612</v>
      </c>
      <c r="CZ3">
        <f t="shared" si="5"/>
        <v>1.4450393700787434</v>
      </c>
      <c r="DA3">
        <f t="shared" si="5"/>
        <v>1.4605774278215253</v>
      </c>
      <c r="DB3">
        <f t="shared" si="5"/>
        <v>1.4761154855643075</v>
      </c>
      <c r="DC3">
        <f t="shared" si="5"/>
        <v>1.4916535433070897</v>
      </c>
      <c r="DD3">
        <f t="shared" si="5"/>
        <v>1.507191601049872</v>
      </c>
      <c r="DE3">
        <f t="shared" si="5"/>
        <v>1.522729658792654</v>
      </c>
      <c r="DF3">
        <f t="shared" si="5"/>
        <v>1.5382677165354361</v>
      </c>
      <c r="DG3">
        <f t="shared" si="5"/>
        <v>1.5538057742782152</v>
      </c>
      <c r="DH3">
        <f t="shared" si="5"/>
        <v>1.5693438320209974</v>
      </c>
      <c r="DI3">
        <f t="shared" si="5"/>
        <v>1.5848818897637793</v>
      </c>
      <c r="DJ3">
        <f t="shared" si="5"/>
        <v>1.6004199475065617</v>
      </c>
      <c r="DK3">
        <f t="shared" si="5"/>
        <v>1.6159580052493439</v>
      </c>
      <c r="DL3">
        <f t="shared" ref="DL3" si="6">1/3*$H3*DL$1</f>
        <v>1.631496062992126</v>
      </c>
    </row>
    <row r="4" spans="2:116" x14ac:dyDescent="0.6">
      <c r="B4">
        <v>50</v>
      </c>
      <c r="C4">
        <v>7472.12</v>
      </c>
      <c r="D4">
        <v>0.51463999999999999</v>
      </c>
      <c r="F4">
        <f t="shared" ref="F4:F27" si="7">B4+273</f>
        <v>323</v>
      </c>
      <c r="G4">
        <f t="shared" si="2"/>
        <v>0.50525538754879995</v>
      </c>
      <c r="H4">
        <f t="shared" si="3"/>
        <v>0.50866141732283465</v>
      </c>
      <c r="I4">
        <f t="shared" ref="I4:I27" si="8">G4/0.52623725</f>
        <v>0.96012851151985146</v>
      </c>
      <c r="K4">
        <v>2</v>
      </c>
      <c r="L4">
        <f t="shared" ref="L4:AA23" si="9">1/3*$H4*L$1</f>
        <v>1.695538057742782E-2</v>
      </c>
      <c r="M4">
        <f t="shared" si="9"/>
        <v>3.391076115485564E-2</v>
      </c>
      <c r="N4">
        <f t="shared" si="4"/>
        <v>5.086614173228346E-2</v>
      </c>
      <c r="O4">
        <f t="shared" si="4"/>
        <v>6.782152230971128E-2</v>
      </c>
      <c r="P4">
        <f t="shared" si="4"/>
        <v>8.4776902887139099E-2</v>
      </c>
      <c r="Q4">
        <f t="shared" si="4"/>
        <v>0.10173228346456692</v>
      </c>
      <c r="R4">
        <f t="shared" si="4"/>
        <v>0.11868766404199473</v>
      </c>
      <c r="S4">
        <f t="shared" si="4"/>
        <v>0.13564304461942256</v>
      </c>
      <c r="T4">
        <f t="shared" si="4"/>
        <v>0.15259842519685038</v>
      </c>
      <c r="U4">
        <f t="shared" si="4"/>
        <v>0.1695538057742782</v>
      </c>
      <c r="V4">
        <f t="shared" si="4"/>
        <v>0.18650918635170605</v>
      </c>
      <c r="W4">
        <f t="shared" si="4"/>
        <v>0.20346456692913384</v>
      </c>
      <c r="X4">
        <f t="shared" si="4"/>
        <v>0.22041994750656166</v>
      </c>
      <c r="Y4">
        <f t="shared" si="4"/>
        <v>0.23737532808398945</v>
      </c>
      <c r="Z4">
        <f t="shared" si="4"/>
        <v>0.25433070866141727</v>
      </c>
      <c r="AA4">
        <f t="shared" si="4"/>
        <v>0.27128608923884512</v>
      </c>
      <c r="AB4">
        <f t="shared" si="4"/>
        <v>0.28824146981627291</v>
      </c>
      <c r="AC4">
        <f t="shared" si="4"/>
        <v>0.30519685039370076</v>
      </c>
      <c r="AD4">
        <f t="shared" si="4"/>
        <v>0.32215223097112855</v>
      </c>
      <c r="AE4">
        <f t="shared" si="4"/>
        <v>0.3391076115485564</v>
      </c>
      <c r="AF4">
        <f t="shared" si="4"/>
        <v>0.35606299212598425</v>
      </c>
      <c r="AG4">
        <f t="shared" si="4"/>
        <v>0.37301837270341209</v>
      </c>
      <c r="AH4">
        <f t="shared" si="4"/>
        <v>0.38997375328083983</v>
      </c>
      <c r="AI4">
        <f t="shared" si="4"/>
        <v>0.40692913385826768</v>
      </c>
      <c r="AJ4">
        <f t="shared" si="4"/>
        <v>0.42388451443569553</v>
      </c>
      <c r="AK4">
        <f t="shared" si="4"/>
        <v>0.44083989501312332</v>
      </c>
      <c r="AL4">
        <f t="shared" si="4"/>
        <v>0.45779527559055117</v>
      </c>
      <c r="AM4">
        <f t="shared" si="4"/>
        <v>0.4747506561679789</v>
      </c>
      <c r="AN4">
        <f t="shared" si="4"/>
        <v>0.49170603674540675</v>
      </c>
      <c r="AO4">
        <f t="shared" si="4"/>
        <v>0.50866141732283454</v>
      </c>
      <c r="AP4">
        <f t="shared" si="4"/>
        <v>0.52561679790026239</v>
      </c>
      <c r="AQ4">
        <f t="shared" si="4"/>
        <v>0.54257217847769024</v>
      </c>
      <c r="AR4">
        <f t="shared" si="4"/>
        <v>0.55952755905511797</v>
      </c>
      <c r="AS4">
        <f t="shared" si="4"/>
        <v>0.57648293963254582</v>
      </c>
      <c r="AT4">
        <f t="shared" si="4"/>
        <v>0.59343832020997367</v>
      </c>
      <c r="AU4">
        <f t="shared" si="4"/>
        <v>0.61039370078740152</v>
      </c>
      <c r="AV4">
        <f t="shared" si="4"/>
        <v>0.62734908136482936</v>
      </c>
      <c r="AW4">
        <f t="shared" si="4"/>
        <v>0.6443044619422571</v>
      </c>
      <c r="AX4">
        <f t="shared" si="4"/>
        <v>0.66125984251968495</v>
      </c>
      <c r="AY4">
        <f t="shared" si="4"/>
        <v>0.6782152230971128</v>
      </c>
      <c r="AZ4">
        <f t="shared" si="5"/>
        <v>0.69517060367454053</v>
      </c>
      <c r="BA4">
        <f t="shared" si="5"/>
        <v>0.71212598425196849</v>
      </c>
      <c r="BB4">
        <f t="shared" si="5"/>
        <v>0.72908136482939623</v>
      </c>
      <c r="BC4">
        <f t="shared" si="5"/>
        <v>0.74603674540682419</v>
      </c>
      <c r="BD4">
        <f t="shared" si="5"/>
        <v>0.76299212598425192</v>
      </c>
      <c r="BE4">
        <f t="shared" si="5"/>
        <v>0.77994750656167966</v>
      </c>
      <c r="BF4">
        <f t="shared" si="5"/>
        <v>0.79690288713910762</v>
      </c>
      <c r="BG4">
        <f t="shared" si="5"/>
        <v>0.81385826771653536</v>
      </c>
      <c r="BH4">
        <f t="shared" si="5"/>
        <v>0.8308136482939632</v>
      </c>
      <c r="BI4">
        <f t="shared" si="5"/>
        <v>0.84776902887139105</v>
      </c>
      <c r="BJ4">
        <f t="shared" si="5"/>
        <v>0.86472440944881879</v>
      </c>
      <c r="BK4">
        <f t="shared" si="5"/>
        <v>0.88167979002624663</v>
      </c>
      <c r="BL4">
        <f t="shared" si="5"/>
        <v>0.89863517060367437</v>
      </c>
      <c r="BM4">
        <f t="shared" si="5"/>
        <v>0.91559055118110233</v>
      </c>
      <c r="BN4">
        <f t="shared" si="5"/>
        <v>0.93254593175853007</v>
      </c>
      <c r="BO4">
        <f t="shared" si="5"/>
        <v>0.9495013123359578</v>
      </c>
      <c r="BP4">
        <f t="shared" si="5"/>
        <v>0.96645669291338576</v>
      </c>
      <c r="BQ4">
        <f t="shared" si="5"/>
        <v>0.9834120734908135</v>
      </c>
      <c r="BR4">
        <f t="shared" si="5"/>
        <v>1.0003674540682415</v>
      </c>
      <c r="BS4">
        <f t="shared" si="5"/>
        <v>1.0173228346456691</v>
      </c>
      <c r="BT4">
        <f t="shared" si="5"/>
        <v>1.0342782152230969</v>
      </c>
      <c r="BU4">
        <f t="shared" si="5"/>
        <v>1.0512335958005248</v>
      </c>
      <c r="BV4">
        <f t="shared" si="5"/>
        <v>1.0681889763779526</v>
      </c>
      <c r="BW4">
        <f t="shared" si="5"/>
        <v>1.0851443569553805</v>
      </c>
      <c r="BX4">
        <f t="shared" si="5"/>
        <v>1.1020997375328083</v>
      </c>
      <c r="BY4">
        <f t="shared" si="5"/>
        <v>1.1190551181102379</v>
      </c>
      <c r="BZ4">
        <f t="shared" si="5"/>
        <v>1.1360104986876656</v>
      </c>
      <c r="CA4">
        <f t="shared" si="5"/>
        <v>1.1529658792650934</v>
      </c>
      <c r="CB4">
        <f t="shared" si="5"/>
        <v>1.1699212598425213</v>
      </c>
      <c r="CC4">
        <f t="shared" si="5"/>
        <v>1.1868766404199491</v>
      </c>
      <c r="CD4">
        <f t="shared" si="5"/>
        <v>1.203832020997377</v>
      </c>
      <c r="CE4">
        <f t="shared" si="5"/>
        <v>1.2207874015748048</v>
      </c>
      <c r="CF4">
        <f t="shared" si="5"/>
        <v>1.2377427821522324</v>
      </c>
      <c r="CG4">
        <f t="shared" si="5"/>
        <v>1.2546981627296603</v>
      </c>
      <c r="CH4">
        <f t="shared" si="5"/>
        <v>1.2716535433070881</v>
      </c>
      <c r="CI4">
        <f t="shared" si="5"/>
        <v>1.288608923884516</v>
      </c>
      <c r="CJ4">
        <f t="shared" si="5"/>
        <v>1.3055643044619438</v>
      </c>
      <c r="CK4">
        <f t="shared" si="5"/>
        <v>1.3225196850393717</v>
      </c>
      <c r="CL4">
        <f t="shared" si="5"/>
        <v>1.3394750656167995</v>
      </c>
      <c r="CM4">
        <f t="shared" si="5"/>
        <v>1.3564304461942274</v>
      </c>
      <c r="CN4">
        <f t="shared" si="5"/>
        <v>1.3733858267716552</v>
      </c>
      <c r="CO4">
        <f t="shared" si="5"/>
        <v>1.3903412073490828</v>
      </c>
      <c r="CP4">
        <f t="shared" si="5"/>
        <v>1.4072965879265107</v>
      </c>
      <c r="CQ4">
        <f t="shared" si="5"/>
        <v>1.4242519685039385</v>
      </c>
      <c r="CR4">
        <f t="shared" si="5"/>
        <v>1.4412073490813679</v>
      </c>
      <c r="CS4">
        <f t="shared" si="5"/>
        <v>1.4581627296587958</v>
      </c>
      <c r="CT4">
        <f t="shared" si="5"/>
        <v>1.4751181102362239</v>
      </c>
      <c r="CU4">
        <f t="shared" si="5"/>
        <v>1.4920734908136515</v>
      </c>
    </row>
    <row r="5" spans="2:116" x14ac:dyDescent="0.6">
      <c r="B5">
        <v>80</v>
      </c>
      <c r="C5">
        <v>7473.33</v>
      </c>
      <c r="D5">
        <v>0.51036999999999999</v>
      </c>
      <c r="F5">
        <f t="shared" si="7"/>
        <v>353</v>
      </c>
      <c r="G5">
        <f t="shared" si="2"/>
        <v>0.50098538754879995</v>
      </c>
      <c r="H5">
        <f t="shared" si="3"/>
        <v>0.55590551181102366</v>
      </c>
      <c r="I5">
        <f t="shared" si="8"/>
        <v>0.95201430067673842</v>
      </c>
      <c r="K5">
        <v>3</v>
      </c>
      <c r="L5">
        <f t="shared" si="9"/>
        <v>1.8530183727034123E-2</v>
      </c>
      <c r="M5">
        <f t="shared" si="9"/>
        <v>3.7060367454068245E-2</v>
      </c>
      <c r="N5">
        <f t="shared" si="4"/>
        <v>5.5590551181102364E-2</v>
      </c>
      <c r="O5">
        <f t="shared" si="4"/>
        <v>7.412073490813649E-2</v>
      </c>
      <c r="P5">
        <f t="shared" si="4"/>
        <v>9.2650918635170609E-2</v>
      </c>
      <c r="Q5">
        <f t="shared" si="4"/>
        <v>0.11118110236220473</v>
      </c>
      <c r="R5">
        <f t="shared" si="4"/>
        <v>0.12971128608923885</v>
      </c>
      <c r="S5">
        <f t="shared" si="4"/>
        <v>0.14824146981627298</v>
      </c>
      <c r="T5">
        <f t="shared" si="4"/>
        <v>0.16677165354330711</v>
      </c>
      <c r="U5">
        <f t="shared" si="4"/>
        <v>0.18530183727034122</v>
      </c>
      <c r="V5">
        <f t="shared" si="4"/>
        <v>0.20383202099737535</v>
      </c>
      <c r="W5">
        <f t="shared" si="4"/>
        <v>0.22236220472440946</v>
      </c>
      <c r="X5">
        <f t="shared" si="4"/>
        <v>0.24089238845144359</v>
      </c>
      <c r="Y5">
        <f t="shared" si="4"/>
        <v>0.2594225721784777</v>
      </c>
      <c r="Z5">
        <f t="shared" si="4"/>
        <v>0.27795275590551183</v>
      </c>
      <c r="AA5">
        <f t="shared" si="4"/>
        <v>0.29648293963254596</v>
      </c>
      <c r="AB5">
        <f t="shared" si="4"/>
        <v>0.31501312335958004</v>
      </c>
      <c r="AC5">
        <f t="shared" si="4"/>
        <v>0.33354330708661423</v>
      </c>
      <c r="AD5">
        <f t="shared" si="4"/>
        <v>0.3520734908136483</v>
      </c>
      <c r="AE5">
        <f t="shared" si="4"/>
        <v>0.37060367454068244</v>
      </c>
      <c r="AF5">
        <f t="shared" si="4"/>
        <v>0.38913385826771657</v>
      </c>
      <c r="AG5">
        <f t="shared" si="4"/>
        <v>0.4076640419947507</v>
      </c>
      <c r="AH5">
        <f t="shared" si="4"/>
        <v>0.42619422572178478</v>
      </c>
      <c r="AI5">
        <f t="shared" si="4"/>
        <v>0.44472440944881891</v>
      </c>
      <c r="AJ5">
        <f t="shared" si="4"/>
        <v>0.46325459317585305</v>
      </c>
      <c r="AK5">
        <f t="shared" si="4"/>
        <v>0.48178477690288718</v>
      </c>
      <c r="AL5">
        <f t="shared" si="4"/>
        <v>0.50031496062992131</v>
      </c>
      <c r="AM5">
        <f t="shared" si="4"/>
        <v>0.51884514435695539</v>
      </c>
      <c r="AN5">
        <f t="shared" si="4"/>
        <v>0.53737532808398947</v>
      </c>
      <c r="AO5">
        <f t="shared" si="4"/>
        <v>0.55590551181102366</v>
      </c>
      <c r="AP5">
        <f t="shared" si="4"/>
        <v>0.57443569553805784</v>
      </c>
      <c r="AQ5">
        <f t="shared" si="4"/>
        <v>0.59296587926509192</v>
      </c>
      <c r="AR5">
        <f t="shared" si="4"/>
        <v>0.611496062992126</v>
      </c>
      <c r="AS5">
        <f t="shared" si="4"/>
        <v>0.63002624671916008</v>
      </c>
      <c r="AT5">
        <f t="shared" si="4"/>
        <v>0.64855643044619427</v>
      </c>
      <c r="AU5">
        <f t="shared" si="4"/>
        <v>0.66708661417322845</v>
      </c>
      <c r="AV5">
        <f t="shared" si="4"/>
        <v>0.68561679790026253</v>
      </c>
      <c r="AW5">
        <f t="shared" si="4"/>
        <v>0.70414698162729661</v>
      </c>
      <c r="AX5">
        <f t="shared" si="4"/>
        <v>0.72267716535433069</v>
      </c>
      <c r="AY5">
        <f t="shared" si="4"/>
        <v>0.74120734908136487</v>
      </c>
      <c r="AZ5">
        <f t="shared" si="5"/>
        <v>0.75973753280839895</v>
      </c>
      <c r="BA5">
        <f t="shared" si="5"/>
        <v>0.77826771653543314</v>
      </c>
      <c r="BB5">
        <f t="shared" si="5"/>
        <v>0.79679790026246722</v>
      </c>
      <c r="BC5">
        <f t="shared" si="5"/>
        <v>0.81532808398950141</v>
      </c>
      <c r="BD5">
        <f t="shared" si="5"/>
        <v>0.83385826771653548</v>
      </c>
      <c r="BE5">
        <f t="shared" si="5"/>
        <v>0.85238845144356956</v>
      </c>
      <c r="BF5">
        <f t="shared" si="5"/>
        <v>0.87091863517060375</v>
      </c>
      <c r="BG5">
        <f t="shared" si="5"/>
        <v>0.88944881889763783</v>
      </c>
      <c r="BH5">
        <f t="shared" si="5"/>
        <v>0.90797900262467202</v>
      </c>
      <c r="BI5">
        <f t="shared" si="5"/>
        <v>0.92650918635170609</v>
      </c>
      <c r="BJ5">
        <f t="shared" si="5"/>
        <v>0.94503937007874017</v>
      </c>
      <c r="BK5">
        <f t="shared" si="5"/>
        <v>0.96356955380577436</v>
      </c>
      <c r="BL5">
        <f t="shared" si="5"/>
        <v>0.98209973753280844</v>
      </c>
      <c r="BM5">
        <f t="shared" si="5"/>
        <v>1.0006299212598426</v>
      </c>
      <c r="BN5">
        <f t="shared" si="5"/>
        <v>1.0191601049868768</v>
      </c>
      <c r="BO5">
        <f t="shared" si="5"/>
        <v>1.0376902887139108</v>
      </c>
      <c r="BP5">
        <f t="shared" si="5"/>
        <v>1.056220472440945</v>
      </c>
      <c r="BQ5">
        <f t="shared" si="5"/>
        <v>1.0747506561679789</v>
      </c>
      <c r="BR5">
        <f t="shared" si="5"/>
        <v>1.0932808398950133</v>
      </c>
      <c r="BS5">
        <f t="shared" si="5"/>
        <v>1.1118110236220473</v>
      </c>
      <c r="BT5">
        <f t="shared" si="5"/>
        <v>1.1303412073490813</v>
      </c>
      <c r="BU5">
        <f t="shared" si="5"/>
        <v>1.1488713910761157</v>
      </c>
      <c r="BV5">
        <f t="shared" si="5"/>
        <v>1.1674015748031497</v>
      </c>
      <c r="BW5">
        <f t="shared" si="5"/>
        <v>1.1859317585301838</v>
      </c>
      <c r="BX5">
        <f t="shared" si="5"/>
        <v>1.2044619422572178</v>
      </c>
      <c r="BY5">
        <f t="shared" si="5"/>
        <v>1.222992125984254</v>
      </c>
      <c r="BZ5">
        <f t="shared" si="5"/>
        <v>1.241522309711288</v>
      </c>
      <c r="CA5">
        <f t="shared" si="5"/>
        <v>1.2600524934383222</v>
      </c>
      <c r="CB5">
        <f t="shared" si="5"/>
        <v>1.2785826771653563</v>
      </c>
      <c r="CC5">
        <f t="shared" si="5"/>
        <v>1.2971128608923903</v>
      </c>
      <c r="CD5">
        <f t="shared" si="5"/>
        <v>1.3156430446194245</v>
      </c>
      <c r="CE5">
        <f t="shared" si="5"/>
        <v>1.3341732283464587</v>
      </c>
      <c r="CF5">
        <f t="shared" si="5"/>
        <v>1.3527034120734927</v>
      </c>
      <c r="CG5">
        <f t="shared" si="5"/>
        <v>1.3712335958005268</v>
      </c>
      <c r="CH5">
        <f t="shared" si="5"/>
        <v>1.389763779527561</v>
      </c>
      <c r="CI5">
        <f t="shared" si="5"/>
        <v>1.4082939632545952</v>
      </c>
      <c r="CJ5">
        <f t="shared" si="5"/>
        <v>1.4268241469816292</v>
      </c>
      <c r="CK5">
        <f t="shared" si="5"/>
        <v>1.4453543307086634</v>
      </c>
      <c r="CL5">
        <f t="shared" si="5"/>
        <v>1.4638845144356976</v>
      </c>
      <c r="CM5">
        <f t="shared" si="5"/>
        <v>1.4824146981627317</v>
      </c>
      <c r="CN5">
        <f t="shared" si="5"/>
        <v>1.5009448818897657</v>
      </c>
      <c r="CO5">
        <f t="shared" si="5"/>
        <v>1.5194750656167999</v>
      </c>
      <c r="CP5">
        <f t="shared" si="5"/>
        <v>1.5380052493438339</v>
      </c>
      <c r="CQ5">
        <f t="shared" si="5"/>
        <v>1.5565354330708681</v>
      </c>
      <c r="CR5">
        <f t="shared" si="5"/>
        <v>1.575065616797904</v>
      </c>
      <c r="CS5">
        <f t="shared" si="5"/>
        <v>1.593595800524938</v>
      </c>
      <c r="CT5">
        <f t="shared" si="5"/>
        <v>1.6121259842519724</v>
      </c>
    </row>
    <row r="6" spans="2:116" x14ac:dyDescent="0.6">
      <c r="B6">
        <v>110</v>
      </c>
      <c r="C6">
        <v>7472.12</v>
      </c>
      <c r="D6">
        <v>0.50087999999999999</v>
      </c>
      <c r="F6">
        <f t="shared" si="7"/>
        <v>383</v>
      </c>
      <c r="G6">
        <f t="shared" si="2"/>
        <v>0.49149538754880001</v>
      </c>
      <c r="H6">
        <f t="shared" si="3"/>
        <v>0.60314960629921255</v>
      </c>
      <c r="I6">
        <f t="shared" si="8"/>
        <v>0.93398060959918749</v>
      </c>
      <c r="K6">
        <v>4</v>
      </c>
      <c r="L6">
        <f t="shared" si="9"/>
        <v>2.0104986876640418E-2</v>
      </c>
      <c r="M6">
        <f t="shared" si="9"/>
        <v>4.0209973753280837E-2</v>
      </c>
      <c r="N6">
        <f t="shared" si="4"/>
        <v>6.0314960629921255E-2</v>
      </c>
      <c r="O6">
        <f t="shared" si="4"/>
        <v>8.0419947506561673E-2</v>
      </c>
      <c r="P6">
        <f t="shared" si="4"/>
        <v>0.10052493438320209</v>
      </c>
      <c r="Q6">
        <f t="shared" si="4"/>
        <v>0.12062992125984251</v>
      </c>
      <c r="R6">
        <f t="shared" si="4"/>
        <v>0.14073490813648293</v>
      </c>
      <c r="S6">
        <f t="shared" si="4"/>
        <v>0.16083989501312335</v>
      </c>
      <c r="T6">
        <f t="shared" si="4"/>
        <v>0.18094488188976376</v>
      </c>
      <c r="U6">
        <f t="shared" si="4"/>
        <v>0.20104986876640418</v>
      </c>
      <c r="V6">
        <f t="shared" si="4"/>
        <v>0.22115485564304463</v>
      </c>
      <c r="W6">
        <f t="shared" si="4"/>
        <v>0.24125984251968502</v>
      </c>
      <c r="X6">
        <f t="shared" si="4"/>
        <v>0.26136482939632544</v>
      </c>
      <c r="Y6">
        <f t="shared" si="4"/>
        <v>0.28146981627296586</v>
      </c>
      <c r="Z6">
        <f t="shared" si="4"/>
        <v>0.30157480314960627</v>
      </c>
      <c r="AA6">
        <f t="shared" si="4"/>
        <v>0.32167979002624669</v>
      </c>
      <c r="AB6">
        <f t="shared" si="4"/>
        <v>0.34178477690288711</v>
      </c>
      <c r="AC6">
        <f t="shared" si="4"/>
        <v>0.36188976377952753</v>
      </c>
      <c r="AD6">
        <f t="shared" si="4"/>
        <v>0.38199475065616795</v>
      </c>
      <c r="AE6">
        <f t="shared" si="4"/>
        <v>0.40209973753280837</v>
      </c>
      <c r="AF6">
        <f t="shared" si="4"/>
        <v>0.42220472440944878</v>
      </c>
      <c r="AG6">
        <f t="shared" si="4"/>
        <v>0.44230971128608926</v>
      </c>
      <c r="AH6">
        <f t="shared" si="4"/>
        <v>0.46241469816272956</v>
      </c>
      <c r="AI6">
        <f t="shared" si="4"/>
        <v>0.48251968503937004</v>
      </c>
      <c r="AJ6">
        <f t="shared" si="4"/>
        <v>0.50262467191601046</v>
      </c>
      <c r="AK6">
        <f t="shared" si="4"/>
        <v>0.52272965879265088</v>
      </c>
      <c r="AL6">
        <f t="shared" si="4"/>
        <v>0.54283464566929129</v>
      </c>
      <c r="AM6">
        <f t="shared" si="4"/>
        <v>0.56293963254593171</v>
      </c>
      <c r="AN6">
        <f t="shared" si="4"/>
        <v>0.58304461942257213</v>
      </c>
      <c r="AO6">
        <f t="shared" si="4"/>
        <v>0.60314960629921255</v>
      </c>
      <c r="AP6">
        <f t="shared" si="4"/>
        <v>0.62325459317585297</v>
      </c>
      <c r="AQ6">
        <f t="shared" si="4"/>
        <v>0.64335958005249338</v>
      </c>
      <c r="AR6">
        <f t="shared" si="4"/>
        <v>0.6634645669291338</v>
      </c>
      <c r="AS6">
        <f t="shared" si="4"/>
        <v>0.68356955380577422</v>
      </c>
      <c r="AT6">
        <f t="shared" si="4"/>
        <v>0.70367454068241464</v>
      </c>
      <c r="AU6">
        <f t="shared" si="4"/>
        <v>0.72377952755905506</v>
      </c>
      <c r="AV6">
        <f t="shared" si="4"/>
        <v>0.74388451443569548</v>
      </c>
      <c r="AW6">
        <f t="shared" si="4"/>
        <v>0.76398950131233589</v>
      </c>
      <c r="AX6">
        <f t="shared" si="4"/>
        <v>0.78409448818897631</v>
      </c>
      <c r="AY6">
        <f t="shared" si="4"/>
        <v>0.80419947506561673</v>
      </c>
      <c r="AZ6">
        <f t="shared" si="5"/>
        <v>0.82430446194225704</v>
      </c>
      <c r="BA6">
        <f t="shared" si="5"/>
        <v>0.84440944881889757</v>
      </c>
      <c r="BB6">
        <f t="shared" si="5"/>
        <v>0.86451443569553799</v>
      </c>
      <c r="BC6">
        <f t="shared" si="5"/>
        <v>0.88461942257217852</v>
      </c>
      <c r="BD6">
        <f t="shared" si="5"/>
        <v>0.90472440944881882</v>
      </c>
      <c r="BE6">
        <f t="shared" si="5"/>
        <v>0.92482939632545913</v>
      </c>
      <c r="BF6">
        <f t="shared" si="5"/>
        <v>0.94493438320209966</v>
      </c>
      <c r="BG6">
        <f t="shared" si="5"/>
        <v>0.96503937007874008</v>
      </c>
      <c r="BH6">
        <f t="shared" si="5"/>
        <v>0.98514435695538061</v>
      </c>
      <c r="BI6">
        <f t="shared" si="5"/>
        <v>1.0052493438320209</v>
      </c>
      <c r="BJ6">
        <f t="shared" si="5"/>
        <v>1.0253543307086612</v>
      </c>
      <c r="BK6">
        <f t="shared" si="5"/>
        <v>1.0454593175853018</v>
      </c>
      <c r="BL6">
        <f t="shared" si="5"/>
        <v>1.0655643044619421</v>
      </c>
      <c r="BM6">
        <f t="shared" si="5"/>
        <v>1.0856692913385826</v>
      </c>
      <c r="BN6">
        <f t="shared" si="5"/>
        <v>1.1057742782152231</v>
      </c>
      <c r="BO6">
        <f t="shared" si="5"/>
        <v>1.1258792650918634</v>
      </c>
      <c r="BP6">
        <f t="shared" si="5"/>
        <v>1.145984251968504</v>
      </c>
      <c r="BQ6">
        <f t="shared" si="5"/>
        <v>1.1660892388451443</v>
      </c>
      <c r="BR6">
        <f t="shared" si="5"/>
        <v>1.1861942257217848</v>
      </c>
      <c r="BS6">
        <f t="shared" si="5"/>
        <v>1.2062992125984251</v>
      </c>
    </row>
    <row r="7" spans="2:116" x14ac:dyDescent="0.6">
      <c r="B7">
        <v>140</v>
      </c>
      <c r="C7">
        <v>7473.09</v>
      </c>
      <c r="D7">
        <v>0.48714000000000002</v>
      </c>
      <c r="F7">
        <f t="shared" si="7"/>
        <v>413</v>
      </c>
      <c r="G7">
        <f t="shared" si="2"/>
        <v>0.47775538754880004</v>
      </c>
      <c r="H7">
        <f t="shared" si="3"/>
        <v>0.65039370078740155</v>
      </c>
      <c r="I7">
        <f t="shared" si="8"/>
        <v>0.90787071334991976</v>
      </c>
      <c r="K7">
        <v>5</v>
      </c>
      <c r="L7">
        <f t="shared" si="9"/>
        <v>2.1679790026246717E-2</v>
      </c>
      <c r="M7">
        <f t="shared" si="9"/>
        <v>4.3359580052493435E-2</v>
      </c>
      <c r="N7">
        <f t="shared" si="4"/>
        <v>6.5039370078740152E-2</v>
      </c>
      <c r="O7">
        <f t="shared" si="4"/>
        <v>8.671916010498687E-2</v>
      </c>
      <c r="P7">
        <f t="shared" si="4"/>
        <v>0.10839895013123359</v>
      </c>
      <c r="Q7">
        <f t="shared" si="4"/>
        <v>0.1300787401574803</v>
      </c>
      <c r="R7">
        <f t="shared" si="4"/>
        <v>0.15175853018372701</v>
      </c>
      <c r="S7">
        <f t="shared" si="4"/>
        <v>0.17343832020997374</v>
      </c>
      <c r="T7">
        <f t="shared" si="4"/>
        <v>0.19511811023622047</v>
      </c>
      <c r="U7">
        <f t="shared" si="4"/>
        <v>0.21679790026246717</v>
      </c>
      <c r="V7">
        <f t="shared" si="4"/>
        <v>0.23847769028871391</v>
      </c>
      <c r="W7">
        <f t="shared" si="4"/>
        <v>0.26015748031496061</v>
      </c>
      <c r="X7">
        <f t="shared" si="4"/>
        <v>0.28183727034120731</v>
      </c>
      <c r="Y7">
        <f t="shared" si="4"/>
        <v>0.30351706036745402</v>
      </c>
      <c r="Z7">
        <f t="shared" si="4"/>
        <v>0.32519685039370078</v>
      </c>
      <c r="AA7">
        <f t="shared" si="4"/>
        <v>0.34687664041994748</v>
      </c>
      <c r="AB7">
        <f t="shared" si="4"/>
        <v>0.36855643044619418</v>
      </c>
      <c r="AC7">
        <f t="shared" si="4"/>
        <v>0.39023622047244094</v>
      </c>
      <c r="AD7">
        <f t="shared" si="4"/>
        <v>0.41191601049868759</v>
      </c>
      <c r="AE7">
        <f t="shared" si="4"/>
        <v>0.43359580052493435</v>
      </c>
      <c r="AF7">
        <f t="shared" si="4"/>
        <v>0.45527559055118111</v>
      </c>
      <c r="AG7">
        <f t="shared" si="4"/>
        <v>0.47695538057742781</v>
      </c>
      <c r="AH7">
        <f t="shared" si="4"/>
        <v>0.49863517060367446</v>
      </c>
      <c r="AI7">
        <f t="shared" si="4"/>
        <v>0.52031496062992122</v>
      </c>
      <c r="AJ7">
        <f t="shared" si="4"/>
        <v>0.54199475065616798</v>
      </c>
      <c r="AK7">
        <f t="shared" si="4"/>
        <v>0.56367454068241463</v>
      </c>
      <c r="AL7">
        <f t="shared" si="4"/>
        <v>0.58535433070866139</v>
      </c>
      <c r="AM7">
        <f t="shared" si="4"/>
        <v>0.60703412073490803</v>
      </c>
      <c r="AN7">
        <f t="shared" si="4"/>
        <v>0.62871391076115479</v>
      </c>
      <c r="AO7">
        <f t="shared" si="4"/>
        <v>0.65039370078740155</v>
      </c>
      <c r="AP7">
        <f t="shared" si="4"/>
        <v>0.67207349081364831</v>
      </c>
      <c r="AQ7">
        <f t="shared" si="4"/>
        <v>0.69375328083989496</v>
      </c>
      <c r="AR7">
        <f t="shared" si="4"/>
        <v>0.71543307086614161</v>
      </c>
      <c r="AS7">
        <f t="shared" si="4"/>
        <v>0.73711286089238837</v>
      </c>
      <c r="AT7">
        <f t="shared" si="4"/>
        <v>0.75879265091863513</v>
      </c>
      <c r="AU7">
        <f t="shared" si="4"/>
        <v>0.78047244094488188</v>
      </c>
      <c r="AV7">
        <f t="shared" si="4"/>
        <v>0.80215223097112853</v>
      </c>
      <c r="AW7">
        <f t="shared" si="4"/>
        <v>0.82383202099737518</v>
      </c>
      <c r="AX7">
        <f t="shared" si="4"/>
        <v>0.84551181102362194</v>
      </c>
      <c r="AY7">
        <f t="shared" si="4"/>
        <v>0.8671916010498687</v>
      </c>
      <c r="AZ7">
        <f t="shared" si="5"/>
        <v>0.88887139107611535</v>
      </c>
      <c r="BA7">
        <f t="shared" si="5"/>
        <v>0.91055118110236222</v>
      </c>
      <c r="BB7">
        <f t="shared" si="5"/>
        <v>0.93223097112860887</v>
      </c>
      <c r="BC7">
        <f t="shared" si="5"/>
        <v>0.95391076115485562</v>
      </c>
      <c r="BD7">
        <f t="shared" si="5"/>
        <v>0.97559055118110227</v>
      </c>
      <c r="BE7">
        <f t="shared" si="5"/>
        <v>0.99727034120734892</v>
      </c>
      <c r="BF7">
        <f t="shared" si="5"/>
        <v>1.0189501312335958</v>
      </c>
      <c r="BG7">
        <f t="shared" si="5"/>
        <v>1.0406299212598424</v>
      </c>
      <c r="BH7">
        <f t="shared" si="5"/>
        <v>1.0623097112860893</v>
      </c>
      <c r="BI7">
        <f t="shared" si="5"/>
        <v>1.083989501312336</v>
      </c>
      <c r="BJ7">
        <f t="shared" si="5"/>
        <v>1.1056692913385826</v>
      </c>
      <c r="BK7">
        <f t="shared" si="5"/>
        <v>1.1273490813648293</v>
      </c>
      <c r="BL7">
        <f t="shared" si="5"/>
        <v>1.1490288713910759</v>
      </c>
      <c r="BM7">
        <f t="shared" si="5"/>
        <v>1.1707086614173228</v>
      </c>
      <c r="BN7">
        <f t="shared" si="5"/>
        <v>1.1923884514435694</v>
      </c>
      <c r="BO7">
        <f t="shared" si="5"/>
        <v>1.2140682414698161</v>
      </c>
      <c r="BP7">
        <f t="shared" si="5"/>
        <v>1.2357480314960629</v>
      </c>
      <c r="BQ7">
        <f t="shared" si="5"/>
        <v>1.2574278215223096</v>
      </c>
      <c r="BR7">
        <f t="shared" si="5"/>
        <v>1.2791076115485565</v>
      </c>
      <c r="BS7">
        <f t="shared" si="5"/>
        <v>1.3007874015748031</v>
      </c>
    </row>
    <row r="8" spans="2:116" x14ac:dyDescent="0.6">
      <c r="B8">
        <v>170</v>
      </c>
      <c r="C8">
        <v>7473.33</v>
      </c>
      <c r="D8">
        <v>0.46024999999999999</v>
      </c>
      <c r="F8">
        <f t="shared" si="7"/>
        <v>443</v>
      </c>
      <c r="G8">
        <f t="shared" si="2"/>
        <v>0.45086538754880001</v>
      </c>
      <c r="H8">
        <f t="shared" si="3"/>
        <v>0.69763779527559056</v>
      </c>
      <c r="I8">
        <f t="shared" si="8"/>
        <v>0.85677208815757533</v>
      </c>
      <c r="K8">
        <v>6</v>
      </c>
      <c r="L8">
        <f t="shared" si="9"/>
        <v>2.3254593175853017E-2</v>
      </c>
      <c r="M8">
        <f t="shared" si="9"/>
        <v>4.6509186351706033E-2</v>
      </c>
      <c r="N8">
        <f t="shared" si="4"/>
        <v>6.976377952755905E-2</v>
      </c>
      <c r="O8">
        <f t="shared" si="4"/>
        <v>9.3018372703412067E-2</v>
      </c>
      <c r="P8">
        <f t="shared" si="4"/>
        <v>0.11627296587926508</v>
      </c>
      <c r="Q8">
        <f t="shared" si="4"/>
        <v>0.1395275590551181</v>
      </c>
      <c r="R8">
        <f t="shared" si="4"/>
        <v>0.16278215223097112</v>
      </c>
      <c r="S8">
        <f t="shared" si="4"/>
        <v>0.18603674540682413</v>
      </c>
      <c r="T8">
        <f t="shared" si="4"/>
        <v>0.20929133858267715</v>
      </c>
      <c r="U8">
        <f t="shared" si="4"/>
        <v>0.23254593175853017</v>
      </c>
      <c r="V8">
        <f t="shared" si="4"/>
        <v>0.25580052493438321</v>
      </c>
      <c r="W8">
        <f t="shared" si="4"/>
        <v>0.2790551181102362</v>
      </c>
      <c r="X8">
        <f t="shared" si="4"/>
        <v>0.30230971128608924</v>
      </c>
      <c r="Y8">
        <f t="shared" si="4"/>
        <v>0.32556430446194223</v>
      </c>
      <c r="Z8">
        <f t="shared" si="4"/>
        <v>0.34881889763779528</v>
      </c>
      <c r="AA8">
        <f t="shared" si="4"/>
        <v>0.37207349081364827</v>
      </c>
      <c r="AB8">
        <f t="shared" si="4"/>
        <v>0.39532808398950126</v>
      </c>
      <c r="AC8">
        <f t="shared" si="4"/>
        <v>0.4185826771653543</v>
      </c>
      <c r="AD8">
        <f t="shared" si="4"/>
        <v>0.44183727034120729</v>
      </c>
      <c r="AE8">
        <f t="shared" si="4"/>
        <v>0.46509186351706033</v>
      </c>
      <c r="AF8">
        <f t="shared" si="4"/>
        <v>0.48834645669291338</v>
      </c>
      <c r="AG8">
        <f t="shared" si="4"/>
        <v>0.51160104986876642</v>
      </c>
      <c r="AH8">
        <f t="shared" si="4"/>
        <v>0.5348556430446193</v>
      </c>
      <c r="AI8">
        <f t="shared" si="4"/>
        <v>0.5581102362204724</v>
      </c>
      <c r="AJ8">
        <f t="shared" si="4"/>
        <v>0.58136482939632539</v>
      </c>
      <c r="AK8">
        <f t="shared" si="4"/>
        <v>0.60461942257217849</v>
      </c>
      <c r="AL8">
        <f t="shared" si="4"/>
        <v>0.62787401574803148</v>
      </c>
      <c r="AM8">
        <f t="shared" si="4"/>
        <v>0.65112860892388447</v>
      </c>
      <c r="AN8">
        <f t="shared" si="4"/>
        <v>0.67438320209973746</v>
      </c>
      <c r="AO8">
        <f t="shared" si="4"/>
        <v>0.69763779527559056</v>
      </c>
      <c r="AP8">
        <f t="shared" si="4"/>
        <v>0.72089238845144354</v>
      </c>
      <c r="AQ8">
        <f t="shared" si="4"/>
        <v>0.74414698162729653</v>
      </c>
      <c r="AR8">
        <f t="shared" si="4"/>
        <v>0.76740157480314952</v>
      </c>
      <c r="AS8">
        <f t="shared" si="4"/>
        <v>0.79065616797900251</v>
      </c>
      <c r="AT8">
        <f t="shared" si="4"/>
        <v>0.81391076115485561</v>
      </c>
      <c r="AU8">
        <f t="shared" si="4"/>
        <v>0.8371653543307086</v>
      </c>
      <c r="AV8">
        <f t="shared" si="4"/>
        <v>0.8604199475065617</v>
      </c>
      <c r="AW8">
        <f t="shared" si="4"/>
        <v>0.88367454068241458</v>
      </c>
      <c r="AX8">
        <f t="shared" si="4"/>
        <v>0.90692913385826768</v>
      </c>
      <c r="AY8">
        <f t="shared" si="4"/>
        <v>0.93018372703412067</v>
      </c>
      <c r="AZ8">
        <f t="shared" si="5"/>
        <v>0.95343832020997366</v>
      </c>
      <c r="BA8">
        <f t="shared" si="5"/>
        <v>0.97669291338582676</v>
      </c>
      <c r="BB8">
        <f t="shared" si="5"/>
        <v>0.99994750656167963</v>
      </c>
      <c r="BC8">
        <f t="shared" si="5"/>
        <v>1.0232020997375328</v>
      </c>
      <c r="BD8">
        <f t="shared" si="5"/>
        <v>1.0464566929133858</v>
      </c>
      <c r="BE8">
        <f t="shared" si="5"/>
        <v>1.0697112860892386</v>
      </c>
      <c r="BF8">
        <f t="shared" si="5"/>
        <v>1.0929658792650918</v>
      </c>
      <c r="BG8">
        <f t="shared" si="5"/>
        <v>1.1162204724409448</v>
      </c>
      <c r="BH8">
        <f t="shared" si="5"/>
        <v>1.1394750656167978</v>
      </c>
      <c r="BI8">
        <f t="shared" si="5"/>
        <v>1.1627296587926508</v>
      </c>
      <c r="BJ8">
        <f t="shared" si="5"/>
        <v>1.1859842519685038</v>
      </c>
      <c r="BK8">
        <f t="shared" si="5"/>
        <v>1.209238845144357</v>
      </c>
      <c r="BL8">
        <f t="shared" si="5"/>
        <v>1.2324934383202097</v>
      </c>
      <c r="BM8">
        <f t="shared" si="5"/>
        <v>1.255748031496063</v>
      </c>
      <c r="BN8">
        <f t="shared" si="5"/>
        <v>1.2790026246719159</v>
      </c>
      <c r="BO8">
        <f t="shared" si="5"/>
        <v>1.3022572178477689</v>
      </c>
      <c r="BP8">
        <f t="shared" si="5"/>
        <v>1.3255118110236219</v>
      </c>
      <c r="BQ8">
        <f t="shared" si="5"/>
        <v>1.3487664041994749</v>
      </c>
      <c r="BR8">
        <f t="shared" si="5"/>
        <v>1.3720209973753281</v>
      </c>
      <c r="BS8">
        <f t="shared" si="5"/>
        <v>1.3952755905511811</v>
      </c>
    </row>
    <row r="9" spans="2:116" x14ac:dyDescent="0.6">
      <c r="B9">
        <v>200</v>
      </c>
      <c r="C9">
        <v>7473.09</v>
      </c>
      <c r="D9">
        <v>0.41575000000000001</v>
      </c>
      <c r="F9">
        <f t="shared" si="7"/>
        <v>473</v>
      </c>
      <c r="G9">
        <f t="shared" si="2"/>
        <v>0.40636538754880003</v>
      </c>
      <c r="H9">
        <f t="shared" si="3"/>
        <v>0.74488188976377956</v>
      </c>
      <c r="I9">
        <f t="shared" si="8"/>
        <v>0.7722094693007765</v>
      </c>
      <c r="K9">
        <v>7</v>
      </c>
      <c r="L9">
        <f t="shared" si="9"/>
        <v>2.4829396325459319E-2</v>
      </c>
      <c r="M9">
        <f t="shared" si="9"/>
        <v>4.9658792650918639E-2</v>
      </c>
      <c r="N9">
        <f t="shared" si="4"/>
        <v>7.4488188976377948E-2</v>
      </c>
      <c r="O9">
        <f t="shared" si="4"/>
        <v>9.9317585301837277E-2</v>
      </c>
      <c r="P9">
        <f t="shared" si="4"/>
        <v>0.12414698162729659</v>
      </c>
      <c r="Q9">
        <f t="shared" si="4"/>
        <v>0.1489763779527559</v>
      </c>
      <c r="R9">
        <f t="shared" si="4"/>
        <v>0.17380577427821522</v>
      </c>
      <c r="S9">
        <f t="shared" si="4"/>
        <v>0.19863517060367455</v>
      </c>
      <c r="T9">
        <f t="shared" si="4"/>
        <v>0.22346456692913388</v>
      </c>
      <c r="U9">
        <f t="shared" si="4"/>
        <v>0.24829396325459319</v>
      </c>
      <c r="V9">
        <f t="shared" si="4"/>
        <v>0.27312335958005252</v>
      </c>
      <c r="W9">
        <f t="shared" si="4"/>
        <v>0.29795275590551179</v>
      </c>
      <c r="X9">
        <f t="shared" si="4"/>
        <v>0.32278215223097118</v>
      </c>
      <c r="Y9">
        <f t="shared" si="4"/>
        <v>0.34761154855643045</v>
      </c>
      <c r="Z9">
        <f t="shared" si="4"/>
        <v>0.37244094488188978</v>
      </c>
      <c r="AA9">
        <f t="shared" si="4"/>
        <v>0.39727034120734911</v>
      </c>
      <c r="AB9">
        <f t="shared" si="4"/>
        <v>0.42209973753280838</v>
      </c>
      <c r="AC9">
        <f t="shared" si="4"/>
        <v>0.44692913385826777</v>
      </c>
      <c r="AD9">
        <f t="shared" si="4"/>
        <v>0.47175853018372704</v>
      </c>
      <c r="AE9">
        <f t="shared" si="4"/>
        <v>0.49658792650918637</v>
      </c>
      <c r="AF9">
        <f t="shared" si="4"/>
        <v>0.5214173228346457</v>
      </c>
      <c r="AG9">
        <f t="shared" si="4"/>
        <v>0.54624671916010503</v>
      </c>
      <c r="AH9">
        <f t="shared" si="4"/>
        <v>0.57107611548556425</v>
      </c>
      <c r="AI9">
        <f t="shared" si="4"/>
        <v>0.59590551181102358</v>
      </c>
      <c r="AJ9">
        <f t="shared" si="4"/>
        <v>0.62073490813648302</v>
      </c>
      <c r="AK9">
        <f t="shared" si="4"/>
        <v>0.64556430446194235</v>
      </c>
      <c r="AL9">
        <f t="shared" si="4"/>
        <v>0.67039370078740168</v>
      </c>
      <c r="AM9">
        <f t="shared" si="4"/>
        <v>0.6952230971128609</v>
      </c>
      <c r="AN9">
        <f t="shared" si="4"/>
        <v>0.72005249343832023</v>
      </c>
      <c r="AO9">
        <f t="shared" ref="AO9:BC23" si="10">1/3*$H9*AO$1</f>
        <v>0.74488188976377956</v>
      </c>
      <c r="AP9">
        <f t="shared" si="10"/>
        <v>0.76971128608923889</v>
      </c>
      <c r="AQ9">
        <f t="shared" si="10"/>
        <v>0.79454068241469822</v>
      </c>
      <c r="AR9">
        <f t="shared" si="10"/>
        <v>0.81937007874015744</v>
      </c>
      <c r="AS9">
        <f t="shared" si="10"/>
        <v>0.84419947506561677</v>
      </c>
      <c r="AT9">
        <f t="shared" si="10"/>
        <v>0.8690288713910761</v>
      </c>
      <c r="AU9">
        <f t="shared" si="10"/>
        <v>0.89385826771653554</v>
      </c>
      <c r="AV9">
        <f t="shared" si="10"/>
        <v>0.91868766404199487</v>
      </c>
      <c r="AW9">
        <f t="shared" si="10"/>
        <v>0.94351706036745409</v>
      </c>
      <c r="AX9">
        <f>1/3*$H9*AX$1</f>
        <v>0.96834645669291342</v>
      </c>
      <c r="AY9">
        <f t="shared" si="10"/>
        <v>0.99317585301837275</v>
      </c>
      <c r="AZ9">
        <f t="shared" si="5"/>
        <v>1.0180052493438321</v>
      </c>
      <c r="BA9">
        <f t="shared" si="10"/>
        <v>1.0428346456692914</v>
      </c>
      <c r="BB9">
        <f t="shared" si="5"/>
        <v>1.0676640419947507</v>
      </c>
      <c r="BC9">
        <f t="shared" si="10"/>
        <v>1.0924934383202101</v>
      </c>
      <c r="BD9">
        <f t="shared" si="5"/>
        <v>1.1173228346456694</v>
      </c>
      <c r="BE9">
        <f t="shared" si="5"/>
        <v>1.1421522309711285</v>
      </c>
      <c r="BF9">
        <f t="shared" si="5"/>
        <v>1.1669816272965881</v>
      </c>
      <c r="BG9">
        <f t="shared" si="5"/>
        <v>1.1918110236220472</v>
      </c>
      <c r="BH9">
        <f t="shared" si="5"/>
        <v>1.2166404199475067</v>
      </c>
      <c r="BI9">
        <f t="shared" si="5"/>
        <v>1.241469816272966</v>
      </c>
      <c r="BJ9">
        <f t="shared" si="5"/>
        <v>1.2662992125984252</v>
      </c>
      <c r="BK9">
        <f t="shared" si="5"/>
        <v>1.2911286089238847</v>
      </c>
      <c r="BL9">
        <f t="shared" si="5"/>
        <v>1.3159580052493438</v>
      </c>
      <c r="BM9">
        <f t="shared" si="5"/>
        <v>1.3407874015748034</v>
      </c>
      <c r="BN9">
        <f t="shared" si="5"/>
        <v>1.3656167979002625</v>
      </c>
      <c r="BO9">
        <f t="shared" si="5"/>
        <v>1.3904461942257218</v>
      </c>
      <c r="BP9">
        <f t="shared" si="5"/>
        <v>1.4152755905511811</v>
      </c>
      <c r="BQ9">
        <f t="shared" si="5"/>
        <v>1.4401049868766405</v>
      </c>
      <c r="BR9">
        <f t="shared" si="5"/>
        <v>1.4649343832020998</v>
      </c>
      <c r="BS9">
        <f t="shared" si="5"/>
        <v>1.4897637795275591</v>
      </c>
    </row>
    <row r="10" spans="2:116" x14ac:dyDescent="0.6">
      <c r="B10">
        <v>230</v>
      </c>
      <c r="C10">
        <v>7472.6</v>
      </c>
      <c r="D10">
        <v>0.37280999999999997</v>
      </c>
      <c r="F10">
        <f t="shared" si="7"/>
        <v>503</v>
      </c>
      <c r="G10">
        <f t="shared" si="2"/>
        <v>0.36342538754879999</v>
      </c>
      <c r="H10">
        <f t="shared" si="3"/>
        <v>0.79212598425196845</v>
      </c>
      <c r="I10">
        <f t="shared" si="8"/>
        <v>0.69061129281289002</v>
      </c>
      <c r="K10">
        <v>8</v>
      </c>
      <c r="L10">
        <f t="shared" si="9"/>
        <v>2.6404199475065615E-2</v>
      </c>
      <c r="M10">
        <f t="shared" si="9"/>
        <v>5.280839895013123E-2</v>
      </c>
      <c r="N10">
        <f t="shared" si="9"/>
        <v>7.9212598425196845E-2</v>
      </c>
      <c r="O10">
        <f t="shared" si="9"/>
        <v>0.10561679790026246</v>
      </c>
      <c r="P10">
        <f t="shared" si="9"/>
        <v>0.13202099737532808</v>
      </c>
      <c r="Q10">
        <f t="shared" si="9"/>
        <v>0.15842519685039369</v>
      </c>
      <c r="R10">
        <f t="shared" si="9"/>
        <v>0.18482939632545931</v>
      </c>
      <c r="S10">
        <f t="shared" si="9"/>
        <v>0.21123359580052492</v>
      </c>
      <c r="T10">
        <f t="shared" si="9"/>
        <v>0.23763779527559054</v>
      </c>
      <c r="U10">
        <f t="shared" si="9"/>
        <v>0.26404199475065615</v>
      </c>
      <c r="V10">
        <f t="shared" si="9"/>
        <v>0.29044619422572177</v>
      </c>
      <c r="W10">
        <f t="shared" si="9"/>
        <v>0.31685039370078738</v>
      </c>
      <c r="X10">
        <f t="shared" si="9"/>
        <v>0.343254593175853</v>
      </c>
      <c r="Y10">
        <f t="shared" si="9"/>
        <v>0.36965879265091861</v>
      </c>
      <c r="Z10">
        <f t="shared" si="9"/>
        <v>0.39606299212598423</v>
      </c>
      <c r="AA10">
        <f t="shared" si="9"/>
        <v>0.42246719160104984</v>
      </c>
      <c r="AB10">
        <f t="shared" ref="AB10:AQ23" si="11">1/3*$H10*AB$1</f>
        <v>0.44887139107611546</v>
      </c>
      <c r="AC10">
        <f t="shared" si="11"/>
        <v>0.47527559055118107</v>
      </c>
      <c r="AD10">
        <f t="shared" si="11"/>
        <v>0.50167979002624663</v>
      </c>
      <c r="AE10">
        <f t="shared" si="11"/>
        <v>0.5280839895013123</v>
      </c>
      <c r="AF10">
        <f t="shared" si="11"/>
        <v>0.55448818897637797</v>
      </c>
      <c r="AG10">
        <f t="shared" si="11"/>
        <v>0.58089238845144353</v>
      </c>
      <c r="AH10">
        <f t="shared" si="11"/>
        <v>0.60729658792650909</v>
      </c>
      <c r="AI10">
        <f t="shared" si="11"/>
        <v>0.63370078740157476</v>
      </c>
      <c r="AJ10">
        <f t="shared" si="11"/>
        <v>0.66010498687664043</v>
      </c>
      <c r="AK10">
        <f t="shared" si="11"/>
        <v>0.68650918635170599</v>
      </c>
      <c r="AL10">
        <f t="shared" si="11"/>
        <v>0.71291338582677166</v>
      </c>
      <c r="AM10">
        <f t="shared" si="11"/>
        <v>0.73931758530183722</v>
      </c>
      <c r="AN10">
        <f t="shared" si="11"/>
        <v>0.76572178477690278</v>
      </c>
      <c r="AO10">
        <f t="shared" si="11"/>
        <v>0.79212598425196845</v>
      </c>
      <c r="AP10">
        <f t="shared" si="11"/>
        <v>0.81853018372703412</v>
      </c>
      <c r="AQ10">
        <f t="shared" si="11"/>
        <v>0.84493438320209968</v>
      </c>
      <c r="AR10">
        <f t="shared" si="10"/>
        <v>0.87133858267716524</v>
      </c>
      <c r="AS10">
        <f t="shared" si="10"/>
        <v>0.89774278215223091</v>
      </c>
      <c r="AT10">
        <f t="shared" si="10"/>
        <v>0.92414698162729647</v>
      </c>
      <c r="AU10">
        <f t="shared" si="10"/>
        <v>0.95055118110236214</v>
      </c>
      <c r="AV10">
        <f t="shared" si="10"/>
        <v>0.97695538057742781</v>
      </c>
      <c r="AW10">
        <f t="shared" si="10"/>
        <v>1.0033595800524933</v>
      </c>
      <c r="AX10">
        <f t="shared" si="10"/>
        <v>1.0297637795275589</v>
      </c>
      <c r="AY10">
        <f t="shared" si="10"/>
        <v>1.0561679790026246</v>
      </c>
    </row>
    <row r="11" spans="2:116" x14ac:dyDescent="0.6">
      <c r="B11">
        <v>240</v>
      </c>
      <c r="C11">
        <v>7470.68</v>
      </c>
      <c r="D11">
        <v>0.35669000000000001</v>
      </c>
      <c r="F11">
        <f t="shared" si="7"/>
        <v>513</v>
      </c>
      <c r="G11">
        <f t="shared" si="2"/>
        <v>0.34730538754880003</v>
      </c>
      <c r="H11">
        <f t="shared" si="3"/>
        <v>0.80787401574803153</v>
      </c>
      <c r="I11">
        <f t="shared" si="8"/>
        <v>0.65997872166746085</v>
      </c>
      <c r="K11">
        <v>9</v>
      </c>
      <c r="L11">
        <f t="shared" si="9"/>
        <v>2.6929133858267718E-2</v>
      </c>
      <c r="M11">
        <f t="shared" si="9"/>
        <v>5.3858267716535436E-2</v>
      </c>
      <c r="N11">
        <f t="shared" si="9"/>
        <v>8.0787401574803144E-2</v>
      </c>
      <c r="O11">
        <f t="shared" si="9"/>
        <v>0.10771653543307087</v>
      </c>
      <c r="P11">
        <f t="shared" si="9"/>
        <v>0.13464566929133859</v>
      </c>
      <c r="Q11">
        <f t="shared" si="9"/>
        <v>0.16157480314960629</v>
      </c>
      <c r="R11">
        <f t="shared" si="9"/>
        <v>0.18850393700787402</v>
      </c>
      <c r="S11">
        <f t="shared" si="9"/>
        <v>0.21543307086614175</v>
      </c>
      <c r="T11">
        <f t="shared" si="9"/>
        <v>0.24236220472440947</v>
      </c>
      <c r="U11">
        <f t="shared" si="9"/>
        <v>0.26929133858267718</v>
      </c>
      <c r="V11">
        <f t="shared" si="9"/>
        <v>0.2962204724409449</v>
      </c>
      <c r="W11">
        <f t="shared" si="9"/>
        <v>0.32314960629921258</v>
      </c>
      <c r="X11">
        <f t="shared" si="9"/>
        <v>0.35007874015748036</v>
      </c>
      <c r="Y11">
        <f t="shared" si="9"/>
        <v>0.37700787401574803</v>
      </c>
      <c r="Z11">
        <f t="shared" si="9"/>
        <v>0.40393700787401576</v>
      </c>
      <c r="AA11">
        <f t="shared" si="9"/>
        <v>0.43086614173228349</v>
      </c>
      <c r="AB11">
        <f t="shared" si="11"/>
        <v>0.45779527559055117</v>
      </c>
      <c r="AC11">
        <f t="shared" si="11"/>
        <v>0.48472440944881895</v>
      </c>
      <c r="AD11">
        <f t="shared" si="11"/>
        <v>0.51165354330708657</v>
      </c>
      <c r="AE11">
        <f t="shared" si="11"/>
        <v>0.53858267716535435</v>
      </c>
      <c r="AF11">
        <f t="shared" si="11"/>
        <v>0.56551181102362214</v>
      </c>
      <c r="AG11">
        <f t="shared" si="11"/>
        <v>0.59244094488188981</v>
      </c>
      <c r="AH11">
        <f t="shared" si="11"/>
        <v>0.61937007874015748</v>
      </c>
      <c r="AI11">
        <f t="shared" si="11"/>
        <v>0.64629921259842515</v>
      </c>
      <c r="AJ11">
        <f t="shared" si="11"/>
        <v>0.67322834645669294</v>
      </c>
      <c r="AK11">
        <f t="shared" si="11"/>
        <v>0.70015748031496072</v>
      </c>
      <c r="AL11">
        <f t="shared" si="11"/>
        <v>0.7270866141732284</v>
      </c>
      <c r="AM11">
        <f t="shared" si="11"/>
        <v>0.75401574803149607</v>
      </c>
      <c r="AN11">
        <f t="shared" si="11"/>
        <v>0.78094488188976374</v>
      </c>
      <c r="AO11">
        <f t="shared" si="11"/>
        <v>0.80787401574803153</v>
      </c>
      <c r="AP11">
        <f t="shared" si="11"/>
        <v>0.83480314960629931</v>
      </c>
      <c r="AQ11">
        <f t="shared" si="11"/>
        <v>0.86173228346456698</v>
      </c>
      <c r="AR11">
        <f t="shared" si="10"/>
        <v>0.88866141732283466</v>
      </c>
      <c r="AS11">
        <f t="shared" si="10"/>
        <v>0.91559055118110233</v>
      </c>
      <c r="AT11">
        <f t="shared" si="10"/>
        <v>0.94251968503937011</v>
      </c>
      <c r="AU11">
        <f t="shared" si="10"/>
        <v>0.9694488188976379</v>
      </c>
      <c r="AV11">
        <f t="shared" si="10"/>
        <v>0.99637795275590557</v>
      </c>
      <c r="AW11">
        <f t="shared" si="10"/>
        <v>1.0233070866141731</v>
      </c>
      <c r="AX11">
        <f t="shared" si="10"/>
        <v>1.0502362204724409</v>
      </c>
      <c r="AY11">
        <f t="shared" si="10"/>
        <v>1.0771653543307087</v>
      </c>
    </row>
    <row r="12" spans="2:116" x14ac:dyDescent="0.6">
      <c r="B12">
        <v>250</v>
      </c>
      <c r="C12">
        <v>7473.33</v>
      </c>
      <c r="D12">
        <v>0.33905000000000002</v>
      </c>
      <c r="F12">
        <f t="shared" si="7"/>
        <v>523</v>
      </c>
      <c r="G12">
        <f t="shared" si="2"/>
        <v>0.32966538754880004</v>
      </c>
      <c r="H12">
        <f t="shared" si="3"/>
        <v>0.82362204724409449</v>
      </c>
      <c r="I12">
        <f t="shared" si="8"/>
        <v>0.62645771949591189</v>
      </c>
      <c r="K12">
        <v>10</v>
      </c>
      <c r="L12">
        <f t="shared" si="9"/>
        <v>2.7454068241469815E-2</v>
      </c>
      <c r="M12">
        <f t="shared" si="9"/>
        <v>5.4908136482939629E-2</v>
      </c>
      <c r="N12">
        <f t="shared" si="9"/>
        <v>8.2362204724409444E-2</v>
      </c>
      <c r="O12">
        <f t="shared" si="9"/>
        <v>0.10981627296587926</v>
      </c>
      <c r="P12">
        <f t="shared" si="9"/>
        <v>0.13727034120734907</v>
      </c>
      <c r="Q12">
        <f t="shared" si="9"/>
        <v>0.16472440944881889</v>
      </c>
      <c r="R12">
        <f t="shared" si="9"/>
        <v>0.1921784776902887</v>
      </c>
      <c r="S12">
        <f t="shared" si="9"/>
        <v>0.21963254593175852</v>
      </c>
      <c r="T12">
        <f t="shared" si="9"/>
        <v>0.24708661417322833</v>
      </c>
      <c r="U12">
        <f t="shared" si="9"/>
        <v>0.27454068241469815</v>
      </c>
      <c r="V12">
        <f t="shared" si="9"/>
        <v>0.30199475065616799</v>
      </c>
      <c r="W12">
        <f t="shared" si="9"/>
        <v>0.32944881889763777</v>
      </c>
      <c r="X12">
        <f t="shared" si="9"/>
        <v>0.35690288713910762</v>
      </c>
      <c r="Y12">
        <f t="shared" si="9"/>
        <v>0.3843569553805774</v>
      </c>
      <c r="Z12">
        <f t="shared" si="9"/>
        <v>0.41181102362204725</v>
      </c>
      <c r="AA12">
        <f t="shared" si="9"/>
        <v>0.43926509186351703</v>
      </c>
      <c r="AB12">
        <f t="shared" si="11"/>
        <v>0.46671916010498682</v>
      </c>
      <c r="AC12">
        <f t="shared" si="11"/>
        <v>0.49417322834645666</v>
      </c>
      <c r="AD12">
        <f t="shared" si="11"/>
        <v>0.5216272965879265</v>
      </c>
      <c r="AE12">
        <f t="shared" si="11"/>
        <v>0.54908136482939629</v>
      </c>
      <c r="AF12">
        <f t="shared" si="11"/>
        <v>0.57653543307086608</v>
      </c>
      <c r="AG12">
        <f t="shared" si="11"/>
        <v>0.60398950131233597</v>
      </c>
      <c r="AH12">
        <f t="shared" si="11"/>
        <v>0.63144356955380565</v>
      </c>
      <c r="AI12">
        <f t="shared" si="11"/>
        <v>0.65889763779527555</v>
      </c>
      <c r="AJ12">
        <f t="shared" si="11"/>
        <v>0.68635170603674533</v>
      </c>
      <c r="AK12">
        <f t="shared" si="11"/>
        <v>0.71380577427821523</v>
      </c>
      <c r="AL12">
        <f t="shared" si="11"/>
        <v>0.74125984251968502</v>
      </c>
      <c r="AM12">
        <f t="shared" si="11"/>
        <v>0.76871391076115481</v>
      </c>
      <c r="AN12">
        <f t="shared" si="11"/>
        <v>0.79616797900262459</v>
      </c>
      <c r="AO12">
        <f t="shared" si="11"/>
        <v>0.82362204724409449</v>
      </c>
      <c r="AP12">
        <f t="shared" si="11"/>
        <v>0.85107611548556428</v>
      </c>
      <c r="AQ12">
        <f t="shared" si="11"/>
        <v>0.87853018372703406</v>
      </c>
      <c r="AR12">
        <f t="shared" si="10"/>
        <v>0.90598425196850385</v>
      </c>
      <c r="AS12">
        <f t="shared" si="10"/>
        <v>0.93343832020997364</v>
      </c>
      <c r="AT12">
        <f t="shared" si="10"/>
        <v>0.96089238845144354</v>
      </c>
      <c r="AU12">
        <f t="shared" si="10"/>
        <v>0.98834645669291332</v>
      </c>
      <c r="AV12">
        <f t="shared" si="10"/>
        <v>1.0158005249343831</v>
      </c>
      <c r="AW12">
        <f t="shared" si="10"/>
        <v>1.043254593175853</v>
      </c>
      <c r="AX12">
        <f t="shared" si="10"/>
        <v>1.0707086614173227</v>
      </c>
      <c r="AY12">
        <f t="shared" si="10"/>
        <v>1.0981627296587926</v>
      </c>
    </row>
    <row r="13" spans="2:116" x14ac:dyDescent="0.6">
      <c r="B13">
        <v>260</v>
      </c>
      <c r="C13">
        <v>7471.88</v>
      </c>
      <c r="D13">
        <v>0.32251000000000002</v>
      </c>
      <c r="F13">
        <f t="shared" si="7"/>
        <v>533</v>
      </c>
      <c r="G13">
        <f t="shared" si="2"/>
        <v>0.31312538754880004</v>
      </c>
      <c r="H13">
        <f t="shared" si="3"/>
        <v>0.83937007874015745</v>
      </c>
      <c r="I13">
        <f t="shared" si="8"/>
        <v>0.59502702925116013</v>
      </c>
      <c r="K13">
        <v>11</v>
      </c>
      <c r="L13">
        <f t="shared" si="9"/>
        <v>2.7979002624671914E-2</v>
      </c>
      <c r="M13">
        <f t="shared" si="9"/>
        <v>5.5958005249343828E-2</v>
      </c>
      <c r="N13">
        <f t="shared" si="9"/>
        <v>8.3937007874015729E-2</v>
      </c>
      <c r="O13">
        <f t="shared" si="9"/>
        <v>0.11191601049868766</v>
      </c>
      <c r="P13">
        <f t="shared" si="9"/>
        <v>0.13989501312335956</v>
      </c>
      <c r="Q13">
        <f t="shared" si="9"/>
        <v>0.16787401574803146</v>
      </c>
      <c r="R13">
        <f t="shared" si="9"/>
        <v>0.19585301837270336</v>
      </c>
      <c r="S13">
        <f t="shared" si="9"/>
        <v>0.22383202099737531</v>
      </c>
      <c r="T13">
        <f t="shared" si="9"/>
        <v>0.25181102362204721</v>
      </c>
      <c r="U13">
        <f t="shared" si="9"/>
        <v>0.27979002624671911</v>
      </c>
      <c r="V13">
        <f t="shared" si="9"/>
        <v>0.30776902887139107</v>
      </c>
      <c r="W13">
        <f t="shared" si="9"/>
        <v>0.33574803149606292</v>
      </c>
      <c r="X13">
        <f t="shared" si="9"/>
        <v>0.36372703412073487</v>
      </c>
      <c r="Y13">
        <f t="shared" si="9"/>
        <v>0.39170603674540672</v>
      </c>
      <c r="Z13">
        <f t="shared" si="9"/>
        <v>0.41968503937007867</v>
      </c>
      <c r="AA13">
        <f t="shared" si="9"/>
        <v>0.44766404199475063</v>
      </c>
      <c r="AB13">
        <f t="shared" si="11"/>
        <v>0.47564304461942247</v>
      </c>
      <c r="AC13">
        <f t="shared" si="11"/>
        <v>0.50362204724409443</v>
      </c>
      <c r="AD13">
        <f t="shared" si="11"/>
        <v>0.53160104986876633</v>
      </c>
      <c r="AE13">
        <f t="shared" si="11"/>
        <v>0.55958005249343823</v>
      </c>
      <c r="AF13">
        <f t="shared" si="11"/>
        <v>0.58755905511811013</v>
      </c>
      <c r="AG13">
        <f t="shared" si="11"/>
        <v>0.61553805774278214</v>
      </c>
      <c r="AH13">
        <f t="shared" si="11"/>
        <v>0.64351706036745393</v>
      </c>
      <c r="AI13">
        <f t="shared" si="11"/>
        <v>0.67149606299212583</v>
      </c>
      <c r="AJ13">
        <f t="shared" si="11"/>
        <v>0.69947506561679784</v>
      </c>
      <c r="AK13">
        <f t="shared" si="11"/>
        <v>0.72745406824146974</v>
      </c>
      <c r="AL13">
        <f t="shared" si="11"/>
        <v>0.75543307086614164</v>
      </c>
      <c r="AM13">
        <f t="shared" si="11"/>
        <v>0.78341207349081343</v>
      </c>
      <c r="AN13">
        <f t="shared" si="11"/>
        <v>0.81139107611548544</v>
      </c>
      <c r="AO13">
        <f t="shared" si="11"/>
        <v>0.83937007874015734</v>
      </c>
      <c r="AP13">
        <f t="shared" si="11"/>
        <v>0.86734908136482924</v>
      </c>
      <c r="AQ13">
        <f t="shared" si="11"/>
        <v>0.89532808398950126</v>
      </c>
      <c r="AR13">
        <f t="shared" si="10"/>
        <v>0.92330708661417304</v>
      </c>
      <c r="AS13">
        <f t="shared" si="10"/>
        <v>0.95128608923884495</v>
      </c>
      <c r="AT13">
        <f t="shared" si="10"/>
        <v>0.97926509186351685</v>
      </c>
      <c r="AU13">
        <f t="shared" si="10"/>
        <v>1.0072440944881889</v>
      </c>
      <c r="AV13">
        <f t="shared" si="10"/>
        <v>1.0352230971128609</v>
      </c>
      <c r="AW13">
        <f t="shared" si="10"/>
        <v>1.0632020997375327</v>
      </c>
      <c r="AX13">
        <f t="shared" si="10"/>
        <v>1.0911811023622044</v>
      </c>
      <c r="AY13">
        <f t="shared" si="10"/>
        <v>1.1191601049868765</v>
      </c>
    </row>
    <row r="14" spans="2:116" x14ac:dyDescent="0.6">
      <c r="B14">
        <v>270</v>
      </c>
      <c r="C14">
        <v>7470.44</v>
      </c>
      <c r="D14">
        <v>0.30825000000000002</v>
      </c>
      <c r="F14">
        <f t="shared" si="7"/>
        <v>543</v>
      </c>
      <c r="G14">
        <f t="shared" si="2"/>
        <v>0.29886538754880004</v>
      </c>
      <c r="H14">
        <f t="shared" si="3"/>
        <v>0.85511811023622042</v>
      </c>
      <c r="I14">
        <f t="shared" si="8"/>
        <v>0.56792898554558813</v>
      </c>
      <c r="K14">
        <v>12</v>
      </c>
      <c r="L14">
        <f t="shared" si="9"/>
        <v>2.8503937007874014E-2</v>
      </c>
      <c r="M14">
        <f t="shared" si="9"/>
        <v>5.7007874015748028E-2</v>
      </c>
      <c r="N14">
        <f t="shared" si="9"/>
        <v>8.5511811023622042E-2</v>
      </c>
      <c r="O14">
        <f t="shared" si="9"/>
        <v>0.11401574803149606</v>
      </c>
      <c r="P14">
        <f t="shared" si="9"/>
        <v>0.14251968503937007</v>
      </c>
      <c r="Q14">
        <f t="shared" si="9"/>
        <v>0.17102362204724408</v>
      </c>
      <c r="R14">
        <f t="shared" si="9"/>
        <v>0.1995275590551181</v>
      </c>
      <c r="S14">
        <f t="shared" si="9"/>
        <v>0.22803149606299211</v>
      </c>
      <c r="T14">
        <f t="shared" si="9"/>
        <v>0.25653543307086613</v>
      </c>
      <c r="U14">
        <f t="shared" si="9"/>
        <v>0.28503937007874014</v>
      </c>
      <c r="V14">
        <f t="shared" si="9"/>
        <v>0.31354330708661415</v>
      </c>
      <c r="W14">
        <f t="shared" si="9"/>
        <v>0.34204724409448817</v>
      </c>
      <c r="X14">
        <f t="shared" si="9"/>
        <v>0.37055118110236218</v>
      </c>
      <c r="Y14">
        <f t="shared" si="9"/>
        <v>0.3990551181102362</v>
      </c>
      <c r="Z14">
        <f t="shared" si="9"/>
        <v>0.42755905511811021</v>
      </c>
      <c r="AA14">
        <f t="shared" si="9"/>
        <v>0.45606299212598422</v>
      </c>
      <c r="AB14">
        <f t="shared" si="11"/>
        <v>0.48456692913385824</v>
      </c>
      <c r="AC14">
        <f t="shared" si="11"/>
        <v>0.51307086614173225</v>
      </c>
      <c r="AD14">
        <f t="shared" si="11"/>
        <v>0.54157480314960627</v>
      </c>
      <c r="AE14">
        <f t="shared" si="11"/>
        <v>0.57007874015748028</v>
      </c>
      <c r="AF14">
        <f t="shared" si="11"/>
        <v>0.59858267716535429</v>
      </c>
      <c r="AG14">
        <f t="shared" si="11"/>
        <v>0.62708661417322831</v>
      </c>
      <c r="AH14">
        <f t="shared" si="11"/>
        <v>0.65559055118110232</v>
      </c>
      <c r="AI14">
        <f t="shared" si="11"/>
        <v>0.68409448818897634</v>
      </c>
      <c r="AJ14">
        <f t="shared" si="11"/>
        <v>0.71259842519685035</v>
      </c>
      <c r="AK14">
        <f t="shared" si="11"/>
        <v>0.74110236220472436</v>
      </c>
      <c r="AL14">
        <f t="shared" si="11"/>
        <v>0.76960629921259838</v>
      </c>
      <c r="AM14">
        <f t="shared" si="11"/>
        <v>0.79811023622047239</v>
      </c>
      <c r="AN14">
        <f t="shared" si="11"/>
        <v>0.8266141732283464</v>
      </c>
      <c r="AO14">
        <f t="shared" si="11"/>
        <v>0.85511811023622042</v>
      </c>
      <c r="AP14">
        <f t="shared" si="11"/>
        <v>0.88362204724409443</v>
      </c>
      <c r="AQ14">
        <f t="shared" si="11"/>
        <v>0.91212598425196845</v>
      </c>
      <c r="AR14">
        <f t="shared" si="10"/>
        <v>0.94062992125984246</v>
      </c>
      <c r="AS14">
        <f t="shared" si="10"/>
        <v>0.96913385826771647</v>
      </c>
      <c r="AT14">
        <f t="shared" si="10"/>
        <v>0.99763779527559049</v>
      </c>
      <c r="AU14">
        <f t="shared" si="10"/>
        <v>1.0261417322834645</v>
      </c>
      <c r="AV14">
        <f t="shared" si="10"/>
        <v>1.0546456692913386</v>
      </c>
      <c r="AW14">
        <f t="shared" si="10"/>
        <v>1.0831496062992125</v>
      </c>
      <c r="AX14">
        <f t="shared" si="10"/>
        <v>1.1116535433070864</v>
      </c>
      <c r="AY14">
        <f t="shared" si="10"/>
        <v>1.1401574803149606</v>
      </c>
    </row>
    <row r="15" spans="2:116" x14ac:dyDescent="0.6">
      <c r="B15">
        <v>280</v>
      </c>
      <c r="C15">
        <v>7472.12</v>
      </c>
      <c r="D15">
        <v>0.29253000000000001</v>
      </c>
      <c r="F15">
        <f t="shared" si="7"/>
        <v>553</v>
      </c>
      <c r="G15">
        <f t="shared" si="2"/>
        <v>0.28314538754880003</v>
      </c>
      <c r="H15">
        <f t="shared" si="3"/>
        <v>0.87086614173228349</v>
      </c>
      <c r="I15">
        <f t="shared" si="8"/>
        <v>0.53805652782808522</v>
      </c>
      <c r="K15">
        <v>13</v>
      </c>
      <c r="L15">
        <f t="shared" si="9"/>
        <v>2.9028871391076117E-2</v>
      </c>
      <c r="M15">
        <f t="shared" si="9"/>
        <v>5.8057742782152234E-2</v>
      </c>
      <c r="N15">
        <f t="shared" si="9"/>
        <v>8.7086614173228341E-2</v>
      </c>
      <c r="O15">
        <f t="shared" si="9"/>
        <v>0.11611548556430447</v>
      </c>
      <c r="P15">
        <f t="shared" si="9"/>
        <v>0.14514435695538058</v>
      </c>
      <c r="Q15">
        <f t="shared" si="9"/>
        <v>0.17417322834645668</v>
      </c>
      <c r="R15">
        <f t="shared" si="9"/>
        <v>0.20320209973753281</v>
      </c>
      <c r="S15">
        <f t="shared" si="9"/>
        <v>0.23223097112860894</v>
      </c>
      <c r="T15">
        <f t="shared" si="9"/>
        <v>0.26125984251968504</v>
      </c>
      <c r="U15">
        <f t="shared" si="9"/>
        <v>0.29028871391076116</v>
      </c>
      <c r="V15">
        <f t="shared" si="9"/>
        <v>0.31931758530183729</v>
      </c>
      <c r="W15">
        <f t="shared" si="9"/>
        <v>0.34834645669291336</v>
      </c>
      <c r="X15">
        <f t="shared" si="9"/>
        <v>0.37737532808398955</v>
      </c>
      <c r="Y15">
        <f t="shared" si="9"/>
        <v>0.40640419947506562</v>
      </c>
      <c r="Z15">
        <f t="shared" si="9"/>
        <v>0.43543307086614175</v>
      </c>
      <c r="AA15">
        <f t="shared" si="9"/>
        <v>0.46446194225721787</v>
      </c>
      <c r="AB15">
        <f t="shared" si="11"/>
        <v>0.49349081364829395</v>
      </c>
      <c r="AC15">
        <f t="shared" si="11"/>
        <v>0.52251968503937007</v>
      </c>
      <c r="AD15">
        <f t="shared" si="11"/>
        <v>0.5515485564304462</v>
      </c>
      <c r="AE15">
        <f t="shared" si="11"/>
        <v>0.58057742782152233</v>
      </c>
      <c r="AF15">
        <f t="shared" si="11"/>
        <v>0.60960629921259846</v>
      </c>
      <c r="AG15">
        <f t="shared" si="11"/>
        <v>0.63863517060367458</v>
      </c>
      <c r="AH15">
        <f t="shared" si="11"/>
        <v>0.6676640419947506</v>
      </c>
      <c r="AI15">
        <f t="shared" si="11"/>
        <v>0.69669291338582673</v>
      </c>
      <c r="AJ15">
        <f t="shared" si="11"/>
        <v>0.72572178477690286</v>
      </c>
      <c r="AK15">
        <f t="shared" si="11"/>
        <v>0.75475065616797909</v>
      </c>
      <c r="AL15">
        <f t="shared" si="11"/>
        <v>0.78377952755905522</v>
      </c>
      <c r="AM15">
        <f t="shared" si="11"/>
        <v>0.81280839895013124</v>
      </c>
      <c r="AN15">
        <f t="shared" si="11"/>
        <v>0.84183727034120737</v>
      </c>
      <c r="AO15">
        <f t="shared" si="11"/>
        <v>0.87086614173228349</v>
      </c>
      <c r="AP15">
        <f t="shared" si="11"/>
        <v>0.89989501312335962</v>
      </c>
      <c r="AQ15">
        <f t="shared" si="11"/>
        <v>0.92892388451443575</v>
      </c>
      <c r="AR15">
        <f t="shared" si="10"/>
        <v>0.95795275590551177</v>
      </c>
      <c r="AS15">
        <f t="shared" si="10"/>
        <v>0.98698162729658789</v>
      </c>
      <c r="AT15">
        <f t="shared" si="10"/>
        <v>1.0160104986876641</v>
      </c>
      <c r="AU15">
        <f t="shared" si="10"/>
        <v>1.0450393700787401</v>
      </c>
      <c r="AV15">
        <f t="shared" si="10"/>
        <v>1.0740682414698164</v>
      </c>
      <c r="AW15">
        <f t="shared" si="10"/>
        <v>1.1030971128608924</v>
      </c>
      <c r="AX15">
        <f t="shared" si="10"/>
        <v>1.1321259842519684</v>
      </c>
      <c r="AY15">
        <f t="shared" si="10"/>
        <v>1.1611548556430447</v>
      </c>
    </row>
    <row r="16" spans="2:116" x14ac:dyDescent="0.6">
      <c r="B16">
        <v>290</v>
      </c>
      <c r="C16">
        <v>7473.09</v>
      </c>
      <c r="D16">
        <v>0.27567999999999998</v>
      </c>
      <c r="F16">
        <f t="shared" si="7"/>
        <v>563</v>
      </c>
      <c r="G16">
        <f t="shared" si="2"/>
        <v>0.2662953875488</v>
      </c>
      <c r="H16">
        <f t="shared" si="3"/>
        <v>0.88661417322834646</v>
      </c>
      <c r="I16">
        <f t="shared" si="8"/>
        <v>0.50603674967669054</v>
      </c>
      <c r="K16">
        <v>14</v>
      </c>
      <c r="L16">
        <f t="shared" si="9"/>
        <v>2.9553805774278213E-2</v>
      </c>
      <c r="M16">
        <f t="shared" si="9"/>
        <v>5.9107611548556427E-2</v>
      </c>
      <c r="N16">
        <f t="shared" si="9"/>
        <v>8.866141732283464E-2</v>
      </c>
      <c r="O16">
        <f t="shared" si="9"/>
        <v>0.11821522309711285</v>
      </c>
      <c r="P16">
        <f t="shared" si="9"/>
        <v>0.14776902887139107</v>
      </c>
      <c r="Q16">
        <f t="shared" si="9"/>
        <v>0.17732283464566928</v>
      </c>
      <c r="R16">
        <f t="shared" si="9"/>
        <v>0.20687664041994749</v>
      </c>
      <c r="S16">
        <f t="shared" si="9"/>
        <v>0.23643044619422571</v>
      </c>
      <c r="T16">
        <f t="shared" si="9"/>
        <v>0.26598425196850395</v>
      </c>
      <c r="U16">
        <f t="shared" si="9"/>
        <v>0.29553805774278213</v>
      </c>
      <c r="V16">
        <f t="shared" si="9"/>
        <v>0.32509186351706038</v>
      </c>
      <c r="W16">
        <f t="shared" si="9"/>
        <v>0.35464566929133856</v>
      </c>
      <c r="X16">
        <f t="shared" si="9"/>
        <v>0.3841994750656168</v>
      </c>
      <c r="Y16">
        <f t="shared" si="9"/>
        <v>0.41375328083989499</v>
      </c>
      <c r="Z16">
        <f t="shared" si="9"/>
        <v>0.44330708661417317</v>
      </c>
      <c r="AA16">
        <f t="shared" si="9"/>
        <v>0.47286089238845141</v>
      </c>
      <c r="AB16">
        <f t="shared" si="11"/>
        <v>0.50241469816272966</v>
      </c>
      <c r="AC16">
        <f t="shared" si="11"/>
        <v>0.5319685039370079</v>
      </c>
      <c r="AD16">
        <f t="shared" si="11"/>
        <v>0.56152230971128603</v>
      </c>
      <c r="AE16">
        <f t="shared" si="11"/>
        <v>0.59107611548556427</v>
      </c>
      <c r="AF16">
        <f t="shared" si="11"/>
        <v>0.62062992125984251</v>
      </c>
      <c r="AG16">
        <f t="shared" si="11"/>
        <v>0.65018372703412075</v>
      </c>
      <c r="AH16">
        <f t="shared" si="11"/>
        <v>0.67973753280839888</v>
      </c>
      <c r="AI16">
        <f t="shared" si="11"/>
        <v>0.70929133858267712</v>
      </c>
      <c r="AJ16">
        <f t="shared" si="11"/>
        <v>0.73884514435695536</v>
      </c>
      <c r="AK16">
        <f t="shared" si="11"/>
        <v>0.7683989501312336</v>
      </c>
      <c r="AL16">
        <f t="shared" si="11"/>
        <v>0.79795275590551185</v>
      </c>
      <c r="AM16">
        <f t="shared" si="11"/>
        <v>0.82750656167978998</v>
      </c>
      <c r="AN16">
        <f t="shared" si="11"/>
        <v>0.85706036745406822</v>
      </c>
      <c r="AO16">
        <f t="shared" si="11"/>
        <v>0.88661417322834635</v>
      </c>
      <c r="AP16">
        <f t="shared" si="11"/>
        <v>0.91616797900262459</v>
      </c>
      <c r="AQ16">
        <f t="shared" si="11"/>
        <v>0.94572178477690283</v>
      </c>
      <c r="AR16">
        <f t="shared" si="10"/>
        <v>0.97527559055118096</v>
      </c>
      <c r="AS16">
        <f t="shared" si="10"/>
        <v>1.0048293963254593</v>
      </c>
      <c r="AT16">
        <f t="shared" si="10"/>
        <v>1.0343832020997374</v>
      </c>
      <c r="AU16">
        <f t="shared" si="10"/>
        <v>1.0639370078740158</v>
      </c>
      <c r="AV16">
        <f t="shared" si="10"/>
        <v>1.0934908136482939</v>
      </c>
      <c r="AW16">
        <f t="shared" si="10"/>
        <v>1.1230446194225721</v>
      </c>
      <c r="AX16">
        <f t="shared" si="10"/>
        <v>1.1525984251968504</v>
      </c>
      <c r="AY16">
        <f t="shared" si="10"/>
        <v>1.1821522309711285</v>
      </c>
    </row>
    <row r="17" spans="1:51" x14ac:dyDescent="0.6">
      <c r="B17">
        <v>300</v>
      </c>
      <c r="C17">
        <v>7471.64</v>
      </c>
      <c r="D17">
        <v>0.25553999999999999</v>
      </c>
      <c r="F17">
        <f t="shared" si="7"/>
        <v>573</v>
      </c>
      <c r="G17">
        <f t="shared" si="2"/>
        <v>0.24615538754879998</v>
      </c>
      <c r="H17">
        <f t="shared" si="3"/>
        <v>0.90236220472440942</v>
      </c>
      <c r="I17">
        <f t="shared" si="8"/>
        <v>0.46776503858060214</v>
      </c>
      <c r="K17">
        <v>15</v>
      </c>
      <c r="L17">
        <f t="shared" si="9"/>
        <v>3.0078740157480313E-2</v>
      </c>
      <c r="M17">
        <f t="shared" si="9"/>
        <v>6.0157480314960626E-2</v>
      </c>
      <c r="N17">
        <f t="shared" si="9"/>
        <v>9.0236220472440926E-2</v>
      </c>
      <c r="O17">
        <f t="shared" si="9"/>
        <v>0.12031496062992125</v>
      </c>
      <c r="P17">
        <f t="shared" si="9"/>
        <v>0.15039370078740155</v>
      </c>
      <c r="Q17">
        <f t="shared" si="9"/>
        <v>0.18047244094488185</v>
      </c>
      <c r="R17">
        <f t="shared" si="9"/>
        <v>0.21055118110236215</v>
      </c>
      <c r="S17">
        <f t="shared" si="9"/>
        <v>0.24062992125984251</v>
      </c>
      <c r="T17">
        <f t="shared" si="9"/>
        <v>0.2707086614173228</v>
      </c>
      <c r="U17">
        <f t="shared" si="9"/>
        <v>0.3007874015748031</v>
      </c>
      <c r="V17">
        <f t="shared" si="9"/>
        <v>0.33086614173228346</v>
      </c>
      <c r="W17">
        <f t="shared" si="9"/>
        <v>0.3609448818897637</v>
      </c>
      <c r="X17">
        <f t="shared" si="9"/>
        <v>0.39102362204724406</v>
      </c>
      <c r="Y17">
        <f t="shared" si="9"/>
        <v>0.4211023622047243</v>
      </c>
      <c r="Z17">
        <f t="shared" si="9"/>
        <v>0.45118110236220466</v>
      </c>
      <c r="AA17">
        <f t="shared" si="9"/>
        <v>0.48125984251968501</v>
      </c>
      <c r="AB17">
        <f t="shared" si="11"/>
        <v>0.51133858267716525</v>
      </c>
      <c r="AC17">
        <f t="shared" si="11"/>
        <v>0.54141732283464561</v>
      </c>
      <c r="AD17">
        <f t="shared" si="11"/>
        <v>0.57149606299212585</v>
      </c>
      <c r="AE17">
        <f t="shared" si="11"/>
        <v>0.60157480314960621</v>
      </c>
      <c r="AF17">
        <f t="shared" si="11"/>
        <v>0.63165354330708656</v>
      </c>
      <c r="AG17">
        <f t="shared" si="11"/>
        <v>0.66173228346456692</v>
      </c>
      <c r="AH17">
        <f t="shared" si="11"/>
        <v>0.69181102362204705</v>
      </c>
      <c r="AI17">
        <f t="shared" si="11"/>
        <v>0.7218897637795274</v>
      </c>
      <c r="AJ17">
        <f t="shared" si="11"/>
        <v>0.75196850393700776</v>
      </c>
      <c r="AK17">
        <f t="shared" si="11"/>
        <v>0.78204724409448811</v>
      </c>
      <c r="AL17">
        <f t="shared" si="11"/>
        <v>0.81212598425196847</v>
      </c>
      <c r="AM17">
        <f t="shared" si="11"/>
        <v>0.8422047244094486</v>
      </c>
      <c r="AN17">
        <f t="shared" si="11"/>
        <v>0.87228346456692896</v>
      </c>
      <c r="AO17">
        <f t="shared" si="11"/>
        <v>0.90236220472440931</v>
      </c>
      <c r="AP17">
        <f t="shared" si="11"/>
        <v>0.93244094488188967</v>
      </c>
      <c r="AQ17">
        <f t="shared" si="11"/>
        <v>0.96251968503937002</v>
      </c>
      <c r="AR17">
        <f t="shared" si="10"/>
        <v>0.99259842519685015</v>
      </c>
      <c r="AS17">
        <f t="shared" si="10"/>
        <v>1.0226771653543305</v>
      </c>
      <c r="AT17">
        <f t="shared" si="10"/>
        <v>1.0527559055118108</v>
      </c>
      <c r="AU17">
        <f t="shared" si="10"/>
        <v>1.0828346456692912</v>
      </c>
      <c r="AV17">
        <f t="shared" si="10"/>
        <v>1.1129133858267715</v>
      </c>
      <c r="AW17">
        <f t="shared" si="10"/>
        <v>1.1429921259842517</v>
      </c>
      <c r="AX17">
        <f t="shared" si="10"/>
        <v>1.1730708661417322</v>
      </c>
      <c r="AY17">
        <f t="shared" si="10"/>
        <v>1.2031496062992124</v>
      </c>
    </row>
    <row r="18" spans="1:51" x14ac:dyDescent="0.6">
      <c r="B18">
        <v>310</v>
      </c>
      <c r="C18">
        <v>7470.44</v>
      </c>
      <c r="D18">
        <v>0.23466000000000001</v>
      </c>
      <c r="F18">
        <f t="shared" si="7"/>
        <v>583</v>
      </c>
      <c r="G18">
        <f t="shared" si="2"/>
        <v>0.2252753875488</v>
      </c>
      <c r="H18">
        <f t="shared" si="3"/>
        <v>0.91811023622047239</v>
      </c>
      <c r="I18">
        <f t="shared" si="8"/>
        <v>0.42808711764285023</v>
      </c>
      <c r="K18">
        <v>16</v>
      </c>
      <c r="L18">
        <f t="shared" si="9"/>
        <v>3.0603674540682413E-2</v>
      </c>
      <c r="M18">
        <f t="shared" si="9"/>
        <v>6.1207349081364826E-2</v>
      </c>
      <c r="N18">
        <f t="shared" si="9"/>
        <v>9.1811023622047239E-2</v>
      </c>
      <c r="O18">
        <f t="shared" si="9"/>
        <v>0.12241469816272965</v>
      </c>
      <c r="P18">
        <f t="shared" si="9"/>
        <v>0.15301837270341206</v>
      </c>
      <c r="Q18">
        <f t="shared" si="9"/>
        <v>0.18362204724409448</v>
      </c>
      <c r="R18">
        <f t="shared" si="9"/>
        <v>0.21422572178477689</v>
      </c>
      <c r="S18">
        <f t="shared" si="9"/>
        <v>0.2448293963254593</v>
      </c>
      <c r="T18">
        <f t="shared" si="9"/>
        <v>0.27543307086614172</v>
      </c>
      <c r="U18">
        <f t="shared" si="9"/>
        <v>0.30603674540682413</v>
      </c>
      <c r="V18">
        <f t="shared" si="9"/>
        <v>0.33664041994750654</v>
      </c>
      <c r="W18">
        <f t="shared" si="9"/>
        <v>0.36724409448818895</v>
      </c>
      <c r="X18">
        <f t="shared" si="9"/>
        <v>0.39784776902887137</v>
      </c>
      <c r="Y18">
        <f t="shared" si="9"/>
        <v>0.42845144356955378</v>
      </c>
      <c r="Z18">
        <f t="shared" si="9"/>
        <v>0.45905511811023619</v>
      </c>
      <c r="AA18">
        <f t="shared" si="9"/>
        <v>0.48965879265091861</v>
      </c>
      <c r="AB18">
        <f t="shared" si="11"/>
        <v>0.52026246719160096</v>
      </c>
      <c r="AC18">
        <f t="shared" si="11"/>
        <v>0.55086614173228343</v>
      </c>
      <c r="AD18">
        <f t="shared" si="11"/>
        <v>0.58146981627296579</v>
      </c>
      <c r="AE18">
        <f t="shared" si="11"/>
        <v>0.61207349081364826</v>
      </c>
      <c r="AF18">
        <f t="shared" si="11"/>
        <v>0.64267716535433073</v>
      </c>
      <c r="AG18">
        <f t="shared" si="11"/>
        <v>0.67328083989501308</v>
      </c>
      <c r="AH18">
        <f t="shared" si="11"/>
        <v>0.70388451443569544</v>
      </c>
      <c r="AI18">
        <f t="shared" si="11"/>
        <v>0.73448818897637791</v>
      </c>
      <c r="AJ18">
        <f t="shared" si="11"/>
        <v>0.76509186351706027</v>
      </c>
      <c r="AK18">
        <f t="shared" si="11"/>
        <v>0.79569553805774274</v>
      </c>
      <c r="AL18">
        <f t="shared" si="11"/>
        <v>0.8262992125984252</v>
      </c>
      <c r="AM18">
        <f t="shared" si="11"/>
        <v>0.85690288713910756</v>
      </c>
      <c r="AN18">
        <f t="shared" si="11"/>
        <v>0.88750656167978992</v>
      </c>
      <c r="AO18">
        <f t="shared" si="11"/>
        <v>0.91811023622047239</v>
      </c>
      <c r="AP18">
        <f t="shared" si="11"/>
        <v>0.94871391076115485</v>
      </c>
      <c r="AQ18">
        <f t="shared" si="11"/>
        <v>0.97931758530183721</v>
      </c>
      <c r="AR18">
        <f t="shared" si="10"/>
        <v>1.0099212598425196</v>
      </c>
      <c r="AS18">
        <f t="shared" si="10"/>
        <v>1.0405249343832019</v>
      </c>
      <c r="AT18">
        <f t="shared" si="10"/>
        <v>1.0711286089238845</v>
      </c>
      <c r="AU18">
        <f t="shared" si="10"/>
        <v>1.1017322834645669</v>
      </c>
      <c r="AV18">
        <f t="shared" si="10"/>
        <v>1.1323359580052492</v>
      </c>
      <c r="AW18">
        <f t="shared" si="10"/>
        <v>1.1629396325459316</v>
      </c>
      <c r="AX18">
        <f t="shared" si="10"/>
        <v>1.1935433070866142</v>
      </c>
      <c r="AY18">
        <f t="shared" si="10"/>
        <v>1.2241469816272965</v>
      </c>
    </row>
    <row r="19" spans="1:51" x14ac:dyDescent="0.6">
      <c r="B19">
        <v>320</v>
      </c>
      <c r="C19">
        <v>7472.36</v>
      </c>
      <c r="D19">
        <v>0.21643000000000001</v>
      </c>
      <c r="F19">
        <f t="shared" si="7"/>
        <v>593</v>
      </c>
      <c r="G19">
        <f t="shared" si="2"/>
        <v>0.2070453875488</v>
      </c>
      <c r="H19">
        <f t="shared" si="3"/>
        <v>0.93385826771653546</v>
      </c>
      <c r="I19">
        <f t="shared" si="8"/>
        <v>0.39344494816510994</v>
      </c>
      <c r="K19">
        <v>17</v>
      </c>
      <c r="L19">
        <f t="shared" si="9"/>
        <v>3.1128608923884516E-2</v>
      </c>
      <c r="M19">
        <f t="shared" si="9"/>
        <v>6.2257217847769032E-2</v>
      </c>
      <c r="N19">
        <f t="shared" si="9"/>
        <v>9.3385826771653538E-2</v>
      </c>
      <c r="O19">
        <f t="shared" si="9"/>
        <v>0.12451443569553806</v>
      </c>
      <c r="P19">
        <f t="shared" si="9"/>
        <v>0.15564304461942258</v>
      </c>
      <c r="Q19">
        <f t="shared" si="9"/>
        <v>0.18677165354330708</v>
      </c>
      <c r="R19">
        <f t="shared" si="9"/>
        <v>0.2179002624671916</v>
      </c>
      <c r="S19">
        <f t="shared" si="9"/>
        <v>0.24902887139107613</v>
      </c>
      <c r="T19">
        <f t="shared" si="9"/>
        <v>0.28015748031496063</v>
      </c>
      <c r="U19">
        <f t="shared" si="9"/>
        <v>0.31128608923884515</v>
      </c>
      <c r="V19">
        <f t="shared" si="9"/>
        <v>0.34241469816272968</v>
      </c>
      <c r="W19">
        <f t="shared" si="9"/>
        <v>0.37354330708661415</v>
      </c>
      <c r="X19">
        <f t="shared" si="9"/>
        <v>0.40467191601049873</v>
      </c>
      <c r="Y19">
        <f t="shared" si="9"/>
        <v>0.4358005249343832</v>
      </c>
      <c r="Z19">
        <f t="shared" si="9"/>
        <v>0.46692913385826773</v>
      </c>
      <c r="AA19">
        <f t="shared" si="9"/>
        <v>0.49805774278215226</v>
      </c>
      <c r="AB19">
        <f t="shared" si="11"/>
        <v>0.52918635170603678</v>
      </c>
      <c r="AC19">
        <f t="shared" si="11"/>
        <v>0.56031496062992125</v>
      </c>
      <c r="AD19">
        <f t="shared" si="11"/>
        <v>0.59144356955380573</v>
      </c>
      <c r="AE19">
        <f t="shared" si="11"/>
        <v>0.62257217847769031</v>
      </c>
      <c r="AF19">
        <f t="shared" si="11"/>
        <v>0.65370078740157489</v>
      </c>
      <c r="AG19">
        <f t="shared" si="11"/>
        <v>0.68482939632545936</v>
      </c>
      <c r="AH19">
        <f t="shared" si="11"/>
        <v>0.71595800524934383</v>
      </c>
      <c r="AI19">
        <f t="shared" si="11"/>
        <v>0.7470866141732283</v>
      </c>
      <c r="AJ19">
        <f t="shared" si="11"/>
        <v>0.77821522309711288</v>
      </c>
      <c r="AK19">
        <f t="shared" si="11"/>
        <v>0.80934383202099747</v>
      </c>
      <c r="AL19">
        <f t="shared" si="11"/>
        <v>0.84047244094488194</v>
      </c>
      <c r="AM19">
        <f t="shared" si="11"/>
        <v>0.87160104986876641</v>
      </c>
      <c r="AN19">
        <f t="shared" si="11"/>
        <v>0.90272965879265088</v>
      </c>
      <c r="AO19">
        <f t="shared" si="11"/>
        <v>0.93385826771653546</v>
      </c>
      <c r="AP19">
        <f t="shared" si="11"/>
        <v>0.96498687664042004</v>
      </c>
      <c r="AQ19">
        <f t="shared" si="11"/>
        <v>0.99611548556430451</v>
      </c>
      <c r="AR19">
        <f t="shared" si="10"/>
        <v>1.0272440944881889</v>
      </c>
      <c r="AS19">
        <f t="shared" si="10"/>
        <v>1.0583727034120736</v>
      </c>
      <c r="AT19">
        <f t="shared" si="10"/>
        <v>1.089501312335958</v>
      </c>
      <c r="AU19">
        <f t="shared" si="10"/>
        <v>1.1206299212598425</v>
      </c>
      <c r="AV19">
        <f t="shared" si="10"/>
        <v>1.1517585301837272</v>
      </c>
      <c r="AW19">
        <f t="shared" si="10"/>
        <v>1.1828871391076115</v>
      </c>
      <c r="AX19">
        <f t="shared" si="10"/>
        <v>1.2140157480314961</v>
      </c>
      <c r="AY19">
        <f t="shared" si="10"/>
        <v>1.2451443569553806</v>
      </c>
    </row>
    <row r="20" spans="1:51" x14ac:dyDescent="0.6">
      <c r="B20">
        <v>330</v>
      </c>
      <c r="C20">
        <v>7470.68</v>
      </c>
      <c r="D20">
        <v>0.19361</v>
      </c>
      <c r="F20">
        <f t="shared" si="7"/>
        <v>603</v>
      </c>
      <c r="G20">
        <f t="shared" si="2"/>
        <v>0.1842253875488</v>
      </c>
      <c r="H20">
        <f t="shared" si="3"/>
        <v>0.94960629921259843</v>
      </c>
      <c r="I20">
        <f t="shared" si="8"/>
        <v>0.35008047710191553</v>
      </c>
      <c r="K20">
        <v>18</v>
      </c>
      <c r="L20">
        <f t="shared" si="9"/>
        <v>3.1653543307086612E-2</v>
      </c>
      <c r="M20">
        <f t="shared" si="9"/>
        <v>6.3307086614173225E-2</v>
      </c>
      <c r="N20">
        <f t="shared" si="9"/>
        <v>9.4960629921259837E-2</v>
      </c>
      <c r="O20">
        <f t="shared" si="9"/>
        <v>0.12661417322834645</v>
      </c>
      <c r="P20">
        <f t="shared" si="9"/>
        <v>0.15826771653543306</v>
      </c>
      <c r="Q20">
        <f t="shared" si="9"/>
        <v>0.18992125984251967</v>
      </c>
      <c r="R20">
        <f t="shared" si="9"/>
        <v>0.22157480314960626</v>
      </c>
      <c r="S20">
        <f t="shared" si="9"/>
        <v>0.2532283464566929</v>
      </c>
      <c r="T20">
        <f t="shared" si="9"/>
        <v>0.28488188976377954</v>
      </c>
      <c r="U20">
        <f t="shared" si="9"/>
        <v>0.31653543307086612</v>
      </c>
      <c r="V20">
        <f t="shared" si="9"/>
        <v>0.34818897637795276</v>
      </c>
      <c r="W20">
        <f t="shared" si="9"/>
        <v>0.37984251968503935</v>
      </c>
      <c r="X20">
        <f t="shared" si="9"/>
        <v>0.41149606299212599</v>
      </c>
      <c r="Y20">
        <f t="shared" si="9"/>
        <v>0.44314960629921252</v>
      </c>
      <c r="Z20">
        <f t="shared" si="9"/>
        <v>0.47480314960629921</v>
      </c>
      <c r="AA20">
        <f t="shared" si="9"/>
        <v>0.5064566929133858</v>
      </c>
      <c r="AB20">
        <f t="shared" si="11"/>
        <v>0.53811023622047238</v>
      </c>
      <c r="AC20">
        <f t="shared" si="11"/>
        <v>0.56976377952755908</v>
      </c>
      <c r="AD20">
        <f t="shared" si="11"/>
        <v>0.60141732283464555</v>
      </c>
      <c r="AE20">
        <f t="shared" si="11"/>
        <v>0.63307086614173225</v>
      </c>
      <c r="AF20">
        <f t="shared" si="11"/>
        <v>0.66472440944881894</v>
      </c>
      <c r="AG20">
        <f t="shared" si="11"/>
        <v>0.69637795275590553</v>
      </c>
      <c r="AH20">
        <f t="shared" si="11"/>
        <v>0.728031496062992</v>
      </c>
      <c r="AI20">
        <f t="shared" si="11"/>
        <v>0.7596850393700787</v>
      </c>
      <c r="AJ20">
        <f t="shared" si="11"/>
        <v>0.79133858267716528</v>
      </c>
      <c r="AK20">
        <f t="shared" si="11"/>
        <v>0.82299212598425198</v>
      </c>
      <c r="AL20">
        <f t="shared" si="11"/>
        <v>0.85464566929133856</v>
      </c>
      <c r="AM20">
        <f t="shared" si="11"/>
        <v>0.88629921259842503</v>
      </c>
      <c r="AN20">
        <f t="shared" si="11"/>
        <v>0.91795275590551173</v>
      </c>
      <c r="AO20">
        <f t="shared" si="11"/>
        <v>0.94960629921259843</v>
      </c>
      <c r="AP20">
        <f t="shared" si="11"/>
        <v>0.98125984251968501</v>
      </c>
      <c r="AQ20">
        <f t="shared" si="11"/>
        <v>1.0129133858267716</v>
      </c>
      <c r="AR20">
        <f t="shared" si="10"/>
        <v>1.0445669291338582</v>
      </c>
      <c r="AS20">
        <f t="shared" si="10"/>
        <v>1.0762204724409448</v>
      </c>
      <c r="AT20">
        <f t="shared" si="10"/>
        <v>1.1078740157480313</v>
      </c>
      <c r="AU20">
        <f t="shared" si="10"/>
        <v>1.1395275590551182</v>
      </c>
      <c r="AV20">
        <f t="shared" si="10"/>
        <v>1.1711811023622047</v>
      </c>
      <c r="AW20">
        <f t="shared" si="10"/>
        <v>1.2028346456692911</v>
      </c>
      <c r="AX20">
        <f t="shared" si="10"/>
        <v>1.2344881889763779</v>
      </c>
      <c r="AY20">
        <f t="shared" si="10"/>
        <v>1.2661417322834645</v>
      </c>
    </row>
    <row r="21" spans="1:51" x14ac:dyDescent="0.6">
      <c r="B21">
        <v>340</v>
      </c>
      <c r="C21">
        <v>7471.16</v>
      </c>
      <c r="D21">
        <v>0.1646</v>
      </c>
      <c r="F21">
        <f t="shared" si="7"/>
        <v>613</v>
      </c>
      <c r="G21">
        <f t="shared" si="2"/>
        <v>0.15521538754879999</v>
      </c>
      <c r="H21">
        <f t="shared" si="3"/>
        <v>0.96535433070866139</v>
      </c>
      <c r="I21">
        <f t="shared" si="8"/>
        <v>0.29495325074156187</v>
      </c>
      <c r="K21">
        <v>19</v>
      </c>
      <c r="L21">
        <f t="shared" si="9"/>
        <v>3.2178477690288712E-2</v>
      </c>
      <c r="M21">
        <f t="shared" si="9"/>
        <v>6.4356955380577424E-2</v>
      </c>
      <c r="N21">
        <f t="shared" si="9"/>
        <v>9.6535433070866122E-2</v>
      </c>
      <c r="O21">
        <f t="shared" si="9"/>
        <v>0.12871391076115485</v>
      </c>
      <c r="P21">
        <f t="shared" si="9"/>
        <v>0.16089238845144355</v>
      </c>
      <c r="Q21">
        <f t="shared" si="9"/>
        <v>0.19307086614173224</v>
      </c>
      <c r="R21">
        <f t="shared" si="9"/>
        <v>0.22524934383202094</v>
      </c>
      <c r="S21">
        <f t="shared" si="9"/>
        <v>0.2574278215223097</v>
      </c>
      <c r="T21">
        <f t="shared" si="9"/>
        <v>0.28960629921259839</v>
      </c>
      <c r="U21">
        <f t="shared" si="9"/>
        <v>0.32178477690288709</v>
      </c>
      <c r="V21">
        <f t="shared" si="9"/>
        <v>0.35396325459317585</v>
      </c>
      <c r="W21">
        <f t="shared" si="9"/>
        <v>0.38614173228346449</v>
      </c>
      <c r="X21">
        <f t="shared" si="9"/>
        <v>0.41832020997375324</v>
      </c>
      <c r="Y21">
        <f t="shared" si="9"/>
        <v>0.45049868766404189</v>
      </c>
      <c r="Z21">
        <f t="shared" si="9"/>
        <v>0.48267716535433064</v>
      </c>
      <c r="AA21">
        <f t="shared" si="9"/>
        <v>0.51485564304461939</v>
      </c>
      <c r="AB21">
        <f t="shared" si="11"/>
        <v>0.54703412073490809</v>
      </c>
      <c r="AC21">
        <f t="shared" si="11"/>
        <v>0.57921259842519679</v>
      </c>
      <c r="AD21">
        <f t="shared" si="11"/>
        <v>0.61139107611548549</v>
      </c>
      <c r="AE21">
        <f t="shared" si="11"/>
        <v>0.64356955380577419</v>
      </c>
      <c r="AF21">
        <f t="shared" si="11"/>
        <v>0.67574803149606288</v>
      </c>
      <c r="AG21">
        <f t="shared" si="11"/>
        <v>0.70792650918635169</v>
      </c>
      <c r="AH21">
        <f t="shared" si="11"/>
        <v>0.74010498687664028</v>
      </c>
      <c r="AI21">
        <f t="shared" si="11"/>
        <v>0.77228346456692898</v>
      </c>
      <c r="AJ21">
        <f t="shared" si="11"/>
        <v>0.80446194225721768</v>
      </c>
      <c r="AK21">
        <f t="shared" si="11"/>
        <v>0.83664041994750649</v>
      </c>
      <c r="AL21">
        <f t="shared" si="11"/>
        <v>0.86881889763779518</v>
      </c>
      <c r="AM21">
        <f t="shared" si="11"/>
        <v>0.90099737532808377</v>
      </c>
      <c r="AN21">
        <f t="shared" si="11"/>
        <v>0.93317585301837258</v>
      </c>
      <c r="AO21">
        <f t="shared" si="11"/>
        <v>0.96535433070866128</v>
      </c>
      <c r="AP21">
        <f t="shared" si="11"/>
        <v>0.99753280839894998</v>
      </c>
      <c r="AQ21">
        <f t="shared" si="11"/>
        <v>1.0297112860892388</v>
      </c>
      <c r="AR21">
        <f t="shared" si="10"/>
        <v>1.0618897637795273</v>
      </c>
      <c r="AS21">
        <f t="shared" si="10"/>
        <v>1.0940682414698162</v>
      </c>
      <c r="AT21">
        <f t="shared" si="10"/>
        <v>1.1262467191601049</v>
      </c>
      <c r="AU21">
        <f t="shared" si="10"/>
        <v>1.1584251968503936</v>
      </c>
      <c r="AV21">
        <f t="shared" si="10"/>
        <v>1.1906036745406823</v>
      </c>
      <c r="AW21">
        <f t="shared" si="10"/>
        <v>1.222782152230971</v>
      </c>
      <c r="AX21">
        <f t="shared" si="10"/>
        <v>1.2549606299212597</v>
      </c>
      <c r="AY21">
        <f t="shared" si="10"/>
        <v>1.2871391076115484</v>
      </c>
    </row>
    <row r="22" spans="1:51" x14ac:dyDescent="0.6">
      <c r="B22">
        <v>350</v>
      </c>
      <c r="C22">
        <v>7473.33</v>
      </c>
      <c r="D22">
        <v>0.12089</v>
      </c>
      <c r="F22">
        <f t="shared" si="7"/>
        <v>623</v>
      </c>
      <c r="G22">
        <f t="shared" si="2"/>
        <v>0.1115053875488</v>
      </c>
      <c r="H22">
        <f t="shared" si="3"/>
        <v>0.98110236220472435</v>
      </c>
      <c r="I22">
        <f t="shared" si="8"/>
        <v>0.21189185590491741</v>
      </c>
      <c r="K22">
        <v>20</v>
      </c>
      <c r="L22">
        <f t="shared" si="9"/>
        <v>3.2703412073490812E-2</v>
      </c>
      <c r="M22">
        <f t="shared" si="9"/>
        <v>6.5406824146981624E-2</v>
      </c>
      <c r="N22">
        <f t="shared" si="9"/>
        <v>9.8110236220472435E-2</v>
      </c>
      <c r="O22">
        <f t="shared" si="9"/>
        <v>0.13081364829396325</v>
      </c>
      <c r="P22">
        <f t="shared" si="9"/>
        <v>0.16351706036745406</v>
      </c>
      <c r="Q22">
        <f t="shared" si="9"/>
        <v>0.19622047244094487</v>
      </c>
      <c r="R22">
        <f t="shared" si="9"/>
        <v>0.22892388451443565</v>
      </c>
      <c r="S22">
        <f t="shared" si="9"/>
        <v>0.26162729658792649</v>
      </c>
      <c r="T22">
        <f t="shared" si="9"/>
        <v>0.29433070866141731</v>
      </c>
      <c r="U22">
        <f t="shared" si="9"/>
        <v>0.32703412073490812</v>
      </c>
      <c r="V22">
        <f t="shared" si="9"/>
        <v>0.35973753280839899</v>
      </c>
      <c r="W22">
        <f t="shared" si="9"/>
        <v>0.39244094488188974</v>
      </c>
      <c r="X22">
        <f t="shared" si="9"/>
        <v>0.42514435695538055</v>
      </c>
      <c r="Y22">
        <f t="shared" si="9"/>
        <v>0.45784776902887131</v>
      </c>
      <c r="Z22">
        <f t="shared" si="9"/>
        <v>0.49055118110236218</v>
      </c>
      <c r="AA22">
        <f t="shared" si="9"/>
        <v>0.52325459317585299</v>
      </c>
      <c r="AB22">
        <f t="shared" si="11"/>
        <v>0.5559580052493438</v>
      </c>
      <c r="AC22">
        <f t="shared" si="11"/>
        <v>0.58866141732283461</v>
      </c>
      <c r="AD22">
        <f t="shared" si="11"/>
        <v>0.62136482939632542</v>
      </c>
      <c r="AE22">
        <f t="shared" si="11"/>
        <v>0.65406824146981624</v>
      </c>
      <c r="AF22">
        <f t="shared" si="11"/>
        <v>0.68677165354330705</v>
      </c>
      <c r="AG22">
        <f t="shared" si="11"/>
        <v>0.71947506561679797</v>
      </c>
      <c r="AH22">
        <f t="shared" si="11"/>
        <v>0.75217847769028856</v>
      </c>
      <c r="AI22">
        <f t="shared" si="11"/>
        <v>0.78488188976377948</v>
      </c>
      <c r="AJ22">
        <f t="shared" si="11"/>
        <v>0.8175853018372703</v>
      </c>
      <c r="AK22">
        <f t="shared" si="11"/>
        <v>0.85028871391076111</v>
      </c>
      <c r="AL22">
        <f t="shared" si="11"/>
        <v>0.88299212598425203</v>
      </c>
      <c r="AM22">
        <f t="shared" si="11"/>
        <v>0.91569553805774262</v>
      </c>
      <c r="AN22">
        <f t="shared" si="11"/>
        <v>0.94839895013123354</v>
      </c>
      <c r="AO22">
        <f t="shared" si="11"/>
        <v>0.98110236220472435</v>
      </c>
      <c r="AP22">
        <f t="shared" si="11"/>
        <v>1.0138057742782152</v>
      </c>
      <c r="AQ22">
        <f t="shared" si="11"/>
        <v>1.046509186351706</v>
      </c>
      <c r="AR22">
        <f t="shared" si="10"/>
        <v>1.0792125984251968</v>
      </c>
      <c r="AS22">
        <f t="shared" si="10"/>
        <v>1.1119160104986876</v>
      </c>
      <c r="AT22">
        <f t="shared" si="10"/>
        <v>1.1446194225721784</v>
      </c>
      <c r="AU22">
        <f t="shared" si="10"/>
        <v>1.1773228346456692</v>
      </c>
      <c r="AV22">
        <f t="shared" si="10"/>
        <v>1.21002624671916</v>
      </c>
      <c r="AW22">
        <f t="shared" si="10"/>
        <v>1.2427296587926508</v>
      </c>
      <c r="AX22">
        <f t="shared" si="10"/>
        <v>1.2754330708661417</v>
      </c>
      <c r="AY22">
        <f t="shared" si="10"/>
        <v>1.3081364829396325</v>
      </c>
    </row>
    <row r="23" spans="1:51" x14ac:dyDescent="0.6">
      <c r="B23">
        <v>360</v>
      </c>
      <c r="C23">
        <v>7470.44</v>
      </c>
      <c r="D23">
        <v>1.7770000000000001E-2</v>
      </c>
      <c r="F23">
        <f t="shared" si="7"/>
        <v>633</v>
      </c>
      <c r="G23">
        <f t="shared" si="2"/>
        <v>8.3853875488000013E-3</v>
      </c>
      <c r="H23">
        <f t="shared" si="3"/>
        <v>0.99685039370078743</v>
      </c>
      <c r="I23">
        <f t="shared" si="8"/>
        <v>1.5934614185521837E-2</v>
      </c>
      <c r="K23">
        <v>21</v>
      </c>
      <c r="L23">
        <f t="shared" si="9"/>
        <v>3.3228346456692918E-2</v>
      </c>
      <c r="M23">
        <f t="shared" si="9"/>
        <v>6.6456692913385837E-2</v>
      </c>
      <c r="N23">
        <f t="shared" si="9"/>
        <v>9.9685039370078735E-2</v>
      </c>
      <c r="O23">
        <f t="shared" si="9"/>
        <v>0.13291338582677167</v>
      </c>
      <c r="P23">
        <f t="shared" si="9"/>
        <v>0.16614173228346457</v>
      </c>
      <c r="Q23">
        <f t="shared" si="9"/>
        <v>0.19937007874015747</v>
      </c>
      <c r="R23">
        <f t="shared" si="9"/>
        <v>0.23259842519685039</v>
      </c>
      <c r="S23">
        <f t="shared" si="9"/>
        <v>0.26582677165354335</v>
      </c>
      <c r="T23">
        <f t="shared" si="9"/>
        <v>0.29905511811023622</v>
      </c>
      <c r="U23">
        <f t="shared" si="9"/>
        <v>0.33228346456692914</v>
      </c>
      <c r="V23">
        <f t="shared" si="9"/>
        <v>0.36551181102362207</v>
      </c>
      <c r="W23">
        <f t="shared" si="9"/>
        <v>0.39874015748031494</v>
      </c>
      <c r="X23">
        <f t="shared" si="9"/>
        <v>0.43196850393700792</v>
      </c>
      <c r="Y23">
        <f t="shared" si="9"/>
        <v>0.46519685039370079</v>
      </c>
      <c r="Z23">
        <f t="shared" si="9"/>
        <v>0.49842519685039371</v>
      </c>
      <c r="AA23">
        <f t="shared" si="9"/>
        <v>0.5316535433070867</v>
      </c>
      <c r="AB23">
        <f t="shared" si="11"/>
        <v>0.56488188976377951</v>
      </c>
      <c r="AC23">
        <f t="shared" si="11"/>
        <v>0.59811023622047244</v>
      </c>
      <c r="AD23">
        <f t="shared" si="11"/>
        <v>0.63133858267716536</v>
      </c>
      <c r="AE23">
        <f t="shared" si="11"/>
        <v>0.66456692913385829</v>
      </c>
      <c r="AF23">
        <f t="shared" si="11"/>
        <v>0.69779527559055121</v>
      </c>
      <c r="AG23">
        <f t="shared" si="11"/>
        <v>0.73102362204724414</v>
      </c>
      <c r="AH23">
        <f t="shared" si="11"/>
        <v>0.76425196850393695</v>
      </c>
      <c r="AI23">
        <f t="shared" si="11"/>
        <v>0.79748031496062988</v>
      </c>
      <c r="AJ23">
        <f t="shared" si="11"/>
        <v>0.83070866141732291</v>
      </c>
      <c r="AK23">
        <f t="shared" si="11"/>
        <v>0.86393700787401584</v>
      </c>
      <c r="AL23">
        <f t="shared" si="11"/>
        <v>0.89716535433070876</v>
      </c>
      <c r="AM23">
        <f t="shared" si="11"/>
        <v>0.93039370078740158</v>
      </c>
      <c r="AN23">
        <f t="shared" si="11"/>
        <v>0.9636220472440945</v>
      </c>
      <c r="AO23">
        <f t="shared" si="11"/>
        <v>0.99685039370078743</v>
      </c>
      <c r="AP23">
        <f t="shared" si="11"/>
        <v>1.0300787401574805</v>
      </c>
      <c r="AQ23">
        <f t="shared" si="11"/>
        <v>1.0633070866141734</v>
      </c>
      <c r="AR23">
        <f t="shared" si="10"/>
        <v>1.0965354330708661</v>
      </c>
      <c r="AS23">
        <f t="shared" si="10"/>
        <v>1.129763779527559</v>
      </c>
      <c r="AT23">
        <f t="shared" si="10"/>
        <v>1.1629921259842519</v>
      </c>
      <c r="AU23">
        <f t="shared" si="10"/>
        <v>1.1962204724409449</v>
      </c>
      <c r="AV23">
        <f t="shared" si="10"/>
        <v>1.2294488188976378</v>
      </c>
      <c r="AW23">
        <f t="shared" si="10"/>
        <v>1.2626771653543307</v>
      </c>
      <c r="AX23">
        <f t="shared" si="10"/>
        <v>1.2959055118110236</v>
      </c>
      <c r="AY23">
        <f t="shared" si="10"/>
        <v>1.3291338582677166</v>
      </c>
    </row>
    <row r="24" spans="1:51" x14ac:dyDescent="0.6">
      <c r="B24">
        <v>370</v>
      </c>
      <c r="C24">
        <v>7470.68</v>
      </c>
      <c r="D24">
        <v>1.5820000000000001E-2</v>
      </c>
      <c r="F24">
        <f t="shared" si="7"/>
        <v>643</v>
      </c>
      <c r="G24">
        <f t="shared" si="2"/>
        <v>6.435387548800001E-3</v>
      </c>
      <c r="H24">
        <f t="shared" si="3"/>
        <v>1.0125984251968505</v>
      </c>
      <c r="I24">
        <f t="shared" si="8"/>
        <v>1.2229061224381211E-2</v>
      </c>
    </row>
    <row r="25" spans="1:51" x14ac:dyDescent="0.6">
      <c r="B25">
        <v>380</v>
      </c>
      <c r="C25">
        <v>7469.71</v>
      </c>
      <c r="D25">
        <v>1.5520000000000001E-2</v>
      </c>
      <c r="F25">
        <f t="shared" si="7"/>
        <v>653</v>
      </c>
      <c r="G25">
        <f t="shared" si="2"/>
        <v>6.1353875488000011E-3</v>
      </c>
      <c r="H25">
        <f t="shared" si="3"/>
        <v>1.0283464566929135</v>
      </c>
      <c r="I25">
        <f t="shared" si="8"/>
        <v>1.1658976153436499E-2</v>
      </c>
    </row>
    <row r="26" spans="1:51" x14ac:dyDescent="0.6">
      <c r="B26">
        <v>390</v>
      </c>
      <c r="C26">
        <v>7470.2</v>
      </c>
      <c r="D26">
        <v>1.5610000000000001E-2</v>
      </c>
      <c r="F26">
        <f t="shared" si="7"/>
        <v>663</v>
      </c>
      <c r="G26">
        <f t="shared" si="2"/>
        <v>6.2253875488000009E-3</v>
      </c>
      <c r="H26">
        <f t="shared" si="3"/>
        <v>1.0440944881889764</v>
      </c>
      <c r="I26">
        <f t="shared" si="8"/>
        <v>1.1830001674719912E-2</v>
      </c>
    </row>
    <row r="27" spans="1:51" x14ac:dyDescent="0.6">
      <c r="B27">
        <v>400</v>
      </c>
      <c r="C27">
        <v>7470.2</v>
      </c>
      <c r="D27">
        <v>1.6619999999999999E-2</v>
      </c>
      <c r="F27">
        <f t="shared" si="7"/>
        <v>673</v>
      </c>
      <c r="G27">
        <f t="shared" si="2"/>
        <v>7.2353875487999996E-3</v>
      </c>
      <c r="H27">
        <f t="shared" si="3"/>
        <v>1.0598425196850394</v>
      </c>
      <c r="I27">
        <f t="shared" si="8"/>
        <v>1.3749288080233773E-2</v>
      </c>
    </row>
    <row r="28" spans="1:51" x14ac:dyDescent="0.6">
      <c r="C28">
        <f>(C3+C4+C5+C6+C7+C8+C9+C10+C11+C12+C13+C14+C15+C16+C17+C18+C19+C20+C21+C22+C23+C24+C25+C26+C27)/25</f>
        <v>7471.8252000000002</v>
      </c>
    </row>
    <row r="29" spans="1:51" x14ac:dyDescent="0.6">
      <c r="H29" t="s">
        <v>8</v>
      </c>
      <c r="I29" t="s">
        <v>9</v>
      </c>
    </row>
    <row r="30" spans="1:51" x14ac:dyDescent="0.6">
      <c r="H30">
        <f>G3/0.95</f>
        <v>0.52623725005136845</v>
      </c>
      <c r="I30">
        <v>635</v>
      </c>
    </row>
    <row r="31" spans="1:51" x14ac:dyDescent="0.6">
      <c r="B31" t="s">
        <v>16</v>
      </c>
      <c r="C31" t="s">
        <v>40</v>
      </c>
    </row>
    <row r="32" spans="1:51" x14ac:dyDescent="0.6">
      <c r="A32">
        <v>1</v>
      </c>
      <c r="B32">
        <v>5.2</v>
      </c>
      <c r="C32">
        <f>_xlfn.COTH(B32)-1/B32</f>
        <v>0.80775317451065298</v>
      </c>
    </row>
    <row r="33" spans="1:3" x14ac:dyDescent="0.6">
      <c r="A33">
        <v>2</v>
      </c>
      <c r="B33">
        <v>4.5999999999999996</v>
      </c>
      <c r="C33">
        <f t="shared" ref="C33:C51" si="12">_xlfn.COTH(B33)-1/B33</f>
        <v>0.78281079487583272</v>
      </c>
    </row>
    <row r="34" spans="1:3" x14ac:dyDescent="0.6">
      <c r="A34">
        <v>3</v>
      </c>
      <c r="B34">
        <v>4.0999999999999996</v>
      </c>
      <c r="C34">
        <f t="shared" si="12"/>
        <v>0.75664701902616915</v>
      </c>
    </row>
    <row r="35" spans="1:3" x14ac:dyDescent="0.6">
      <c r="A35">
        <v>4</v>
      </c>
      <c r="B35">
        <v>3.7</v>
      </c>
      <c r="C35">
        <f t="shared" si="12"/>
        <v>0.73095298296890898</v>
      </c>
    </row>
    <row r="36" spans="1:3" x14ac:dyDescent="0.6">
      <c r="A36">
        <v>5</v>
      </c>
      <c r="B36">
        <v>3.2</v>
      </c>
      <c r="C36">
        <f t="shared" si="12"/>
        <v>0.69082864528112453</v>
      </c>
    </row>
    <row r="37" spans="1:3" x14ac:dyDescent="0.6">
      <c r="A37">
        <v>6</v>
      </c>
      <c r="B37">
        <v>2.9</v>
      </c>
      <c r="C37">
        <f t="shared" si="12"/>
        <v>0.66124591112953723</v>
      </c>
    </row>
    <row r="38" spans="1:3" x14ac:dyDescent="0.6">
      <c r="A38">
        <v>7</v>
      </c>
      <c r="B38">
        <v>2.5</v>
      </c>
      <c r="C38">
        <f t="shared" si="12"/>
        <v>0.61356730981260832</v>
      </c>
    </row>
    <row r="39" spans="1:3" x14ac:dyDescent="0.6">
      <c r="A39">
        <v>8</v>
      </c>
      <c r="B39">
        <v>2</v>
      </c>
      <c r="C39">
        <f t="shared" si="12"/>
        <v>0.53731472072754793</v>
      </c>
    </row>
    <row r="40" spans="1:3" x14ac:dyDescent="0.6">
      <c r="A40">
        <v>10</v>
      </c>
      <c r="B40">
        <v>1.9</v>
      </c>
      <c r="C40">
        <f t="shared" si="12"/>
        <v>0.51944956044049484</v>
      </c>
    </row>
    <row r="41" spans="1:3" x14ac:dyDescent="0.6">
      <c r="A41">
        <v>11</v>
      </c>
      <c r="B41">
        <v>1.8</v>
      </c>
      <c r="C41">
        <f t="shared" si="12"/>
        <v>0.5006270060589626</v>
      </c>
    </row>
    <row r="42" spans="1:3" x14ac:dyDescent="0.6">
      <c r="A42">
        <v>12</v>
      </c>
      <c r="B42">
        <v>1.65</v>
      </c>
      <c r="C42">
        <f t="shared" si="12"/>
        <v>0.47053065712336084</v>
      </c>
    </row>
    <row r="43" spans="1:3" x14ac:dyDescent="0.6">
      <c r="A43">
        <v>13</v>
      </c>
      <c r="B43">
        <v>1.5</v>
      </c>
      <c r="C43">
        <f t="shared" si="12"/>
        <v>0.43812472631584531</v>
      </c>
    </row>
    <row r="44" spans="1:3" x14ac:dyDescent="0.6">
      <c r="A44">
        <v>14</v>
      </c>
      <c r="B44">
        <v>1.4</v>
      </c>
      <c r="C44">
        <f t="shared" si="12"/>
        <v>0.41520899217418228</v>
      </c>
    </row>
    <row r="45" spans="1:3" x14ac:dyDescent="0.6">
      <c r="A45">
        <v>15</v>
      </c>
      <c r="B45">
        <v>1.3</v>
      </c>
      <c r="C45">
        <f t="shared" si="12"/>
        <v>0.39123473432710676</v>
      </c>
    </row>
    <row r="46" spans="1:3" x14ac:dyDescent="0.6">
      <c r="A46">
        <v>16</v>
      </c>
      <c r="B46">
        <v>1.1000000000000001</v>
      </c>
      <c r="C46">
        <f t="shared" si="12"/>
        <v>0.34012985547740338</v>
      </c>
    </row>
    <row r="47" spans="1:3" x14ac:dyDescent="0.6">
      <c r="A47">
        <v>17</v>
      </c>
      <c r="B47">
        <v>1</v>
      </c>
      <c r="C47">
        <f t="shared" si="12"/>
        <v>0.31303528549933146</v>
      </c>
    </row>
    <row r="48" spans="1:3" x14ac:dyDescent="0.6">
      <c r="A48">
        <v>18</v>
      </c>
      <c r="B48">
        <v>0.9</v>
      </c>
      <c r="C48">
        <f t="shared" si="12"/>
        <v>0.2849561419189004</v>
      </c>
    </row>
    <row r="49" spans="1:3" x14ac:dyDescent="0.6">
      <c r="A49">
        <v>19</v>
      </c>
      <c r="B49">
        <v>0.8</v>
      </c>
      <c r="C49">
        <f t="shared" si="12"/>
        <v>0.25594070204370678</v>
      </c>
    </row>
    <row r="50" spans="1:3" x14ac:dyDescent="0.6">
      <c r="A50">
        <v>20</v>
      </c>
      <c r="B50">
        <v>0.6</v>
      </c>
      <c r="C50">
        <f t="shared" si="12"/>
        <v>0.19535885471999936</v>
      </c>
    </row>
    <row r="51" spans="1:3" x14ac:dyDescent="0.6">
      <c r="A51">
        <v>21</v>
      </c>
      <c r="B51">
        <v>0.3</v>
      </c>
      <c r="C51">
        <f t="shared" si="12"/>
        <v>9.9405096988407937E-2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5A98-2575-6C43-9E99-8358916465A2}">
  <dimension ref="A2:M93"/>
  <sheetViews>
    <sheetView topLeftCell="C1" zoomScale="70" zoomScaleNormal="70" workbookViewId="0">
      <selection activeCell="K60" sqref="K60:M62"/>
    </sheetView>
  </sheetViews>
  <sheetFormatPr defaultColWidth="11.07421875" defaultRowHeight="20" x14ac:dyDescent="0.6"/>
  <cols>
    <col min="7" max="7" width="12" bestFit="1" customWidth="1"/>
  </cols>
  <sheetData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7</v>
      </c>
      <c r="G2" t="s">
        <v>12</v>
      </c>
      <c r="H2" t="s">
        <v>13</v>
      </c>
    </row>
    <row r="3" spans="1:8" x14ac:dyDescent="0.6">
      <c r="B3">
        <v>10</v>
      </c>
      <c r="C3">
        <v>77.400000000000006</v>
      </c>
    </row>
    <row r="4" spans="1:8" x14ac:dyDescent="0.6">
      <c r="B4">
        <v>10.5</v>
      </c>
      <c r="C4">
        <v>79.8</v>
      </c>
      <c r="D4">
        <v>8896</v>
      </c>
      <c r="E4">
        <v>0.13589000000000001</v>
      </c>
      <c r="F4">
        <f>E4-0.009</f>
        <v>0.12689</v>
      </c>
      <c r="G4">
        <f>F4/8884.595</f>
        <v>1.4282024110271769E-5</v>
      </c>
      <c r="H4">
        <f>1/G4</f>
        <v>70018.086531641573</v>
      </c>
    </row>
    <row r="5" spans="1:8" x14ac:dyDescent="0.6">
      <c r="B5">
        <v>11</v>
      </c>
      <c r="C5">
        <v>82.2</v>
      </c>
      <c r="D5">
        <v>8896.2900000000009</v>
      </c>
      <c r="E5">
        <v>0.12514</v>
      </c>
      <c r="F5">
        <f t="shared" ref="F5:F68" si="0">E5-0.009</f>
        <v>0.11614000000000001</v>
      </c>
      <c r="G5">
        <f t="shared" ref="G5:G68" si="1">F5/8884.595</f>
        <v>1.3072064624217539E-5</v>
      </c>
      <c r="H5">
        <f t="shared" ref="H5:H68" si="2">1/G5</f>
        <v>76499.009815739613</v>
      </c>
    </row>
    <row r="6" spans="1:8" x14ac:dyDescent="0.6">
      <c r="B6">
        <v>11.5</v>
      </c>
      <c r="C6">
        <v>84.6</v>
      </c>
      <c r="D6">
        <v>8894</v>
      </c>
      <c r="E6">
        <v>9.8900000000000002E-2</v>
      </c>
      <c r="F6">
        <f t="shared" si="0"/>
        <v>8.9900000000000008E-2</v>
      </c>
      <c r="G6">
        <f t="shared" si="1"/>
        <v>1.0118637934537254E-5</v>
      </c>
      <c r="H6">
        <f t="shared" si="2"/>
        <v>98827.530589543923</v>
      </c>
    </row>
    <row r="7" spans="1:8" x14ac:dyDescent="0.6">
      <c r="B7">
        <v>12</v>
      </c>
      <c r="C7">
        <v>87.1</v>
      </c>
      <c r="D7">
        <v>8894.86</v>
      </c>
      <c r="E7">
        <v>5.5449999999999999E-2</v>
      </c>
      <c r="F7">
        <f t="shared" si="0"/>
        <v>4.6449999999999998E-2</v>
      </c>
      <c r="G7">
        <f t="shared" si="1"/>
        <v>5.2281505234622398E-6</v>
      </c>
      <c r="H7">
        <f t="shared" si="2"/>
        <v>191272.22820236813</v>
      </c>
    </row>
    <row r="8" spans="1:8" x14ac:dyDescent="0.6">
      <c r="B8">
        <v>12.5</v>
      </c>
      <c r="C8">
        <v>89.5</v>
      </c>
      <c r="D8">
        <v>8893.43</v>
      </c>
      <c r="E8">
        <v>3.0669999999999999E-2</v>
      </c>
      <c r="F8">
        <f t="shared" si="0"/>
        <v>2.1670000000000002E-2</v>
      </c>
      <c r="G8">
        <f t="shared" si="1"/>
        <v>2.4390532151437409E-6</v>
      </c>
      <c r="H8">
        <f t="shared" si="2"/>
        <v>409995.15459160117</v>
      </c>
    </row>
    <row r="9" spans="1:8" x14ac:dyDescent="0.6">
      <c r="B9">
        <v>13</v>
      </c>
      <c r="C9">
        <v>91.9</v>
      </c>
      <c r="D9">
        <v>8893.14</v>
      </c>
      <c r="E9">
        <v>2.368E-2</v>
      </c>
      <c r="F9">
        <f t="shared" si="0"/>
        <v>1.468E-2</v>
      </c>
      <c r="G9">
        <f t="shared" si="1"/>
        <v>1.6522981632815002E-6</v>
      </c>
      <c r="H9">
        <f t="shared" si="2"/>
        <v>605217.6430517711</v>
      </c>
    </row>
    <row r="10" spans="1:8" x14ac:dyDescent="0.6">
      <c r="B10">
        <v>13.5</v>
      </c>
      <c r="C10">
        <v>94.3</v>
      </c>
      <c r="D10">
        <v>8894</v>
      </c>
      <c r="E10">
        <v>2.0840000000000001E-2</v>
      </c>
      <c r="F10">
        <f t="shared" si="0"/>
        <v>1.1840000000000002E-2</v>
      </c>
      <c r="G10">
        <f t="shared" si="1"/>
        <v>1.3326437502215917E-6</v>
      </c>
      <c r="H10">
        <f t="shared" si="2"/>
        <v>750388.0912162161</v>
      </c>
    </row>
    <row r="11" spans="1:8" x14ac:dyDescent="0.6">
      <c r="B11">
        <v>14</v>
      </c>
      <c r="C11">
        <v>96.8</v>
      </c>
      <c r="D11">
        <v>8891.14</v>
      </c>
      <c r="E11">
        <v>1.8880000000000001E-2</v>
      </c>
      <c r="F11">
        <f t="shared" si="0"/>
        <v>9.8800000000000016E-3</v>
      </c>
      <c r="G11">
        <f t="shared" si="1"/>
        <v>1.1120371834619364E-6</v>
      </c>
      <c r="H11">
        <f t="shared" si="2"/>
        <v>899250.50607287418</v>
      </c>
    </row>
    <row r="12" spans="1:8" x14ac:dyDescent="0.6">
      <c r="B12">
        <v>14.5</v>
      </c>
      <c r="C12">
        <v>99.2</v>
      </c>
      <c r="D12">
        <v>8892.2800000000007</v>
      </c>
      <c r="E12">
        <v>1.7670000000000002E-2</v>
      </c>
      <c r="F12">
        <f t="shared" si="0"/>
        <v>8.6700000000000024E-3</v>
      </c>
      <c r="G12">
        <f t="shared" si="1"/>
        <v>9.7584639479908791E-7</v>
      </c>
      <c r="H12">
        <f t="shared" si="2"/>
        <v>1024751.4417531716</v>
      </c>
    </row>
    <row r="13" spans="1:8" x14ac:dyDescent="0.6">
      <c r="B13">
        <v>15</v>
      </c>
      <c r="C13">
        <v>101.7</v>
      </c>
      <c r="D13">
        <v>8893.7099999999991</v>
      </c>
      <c r="E13">
        <v>1.6729999999999998E-2</v>
      </c>
      <c r="F13">
        <f t="shared" si="0"/>
        <v>7.729999999999999E-3</v>
      </c>
      <c r="G13">
        <f t="shared" si="1"/>
        <v>8.7004528625108967E-7</v>
      </c>
      <c r="H13">
        <f t="shared" si="2"/>
        <v>1149365.4592496767</v>
      </c>
    </row>
    <row r="14" spans="1:8" x14ac:dyDescent="0.6">
      <c r="B14">
        <v>15.5</v>
      </c>
      <c r="C14">
        <v>104.1</v>
      </c>
      <c r="D14">
        <v>8891.43</v>
      </c>
      <c r="E14">
        <v>1.5990000000000001E-2</v>
      </c>
      <c r="F14">
        <f t="shared" si="0"/>
        <v>6.9900000000000014E-3</v>
      </c>
      <c r="G14">
        <f t="shared" si="1"/>
        <v>7.867550518622404E-7</v>
      </c>
      <c r="H14">
        <f t="shared" si="2"/>
        <v>1271043.6337625175</v>
      </c>
    </row>
    <row r="15" spans="1:8" x14ac:dyDescent="0.6">
      <c r="B15">
        <v>16</v>
      </c>
      <c r="C15">
        <v>106.5</v>
      </c>
      <c r="D15">
        <v>8891.7099999999991</v>
      </c>
      <c r="E15">
        <v>1.538E-2</v>
      </c>
      <c r="F15">
        <f t="shared" si="0"/>
        <v>6.3800000000000003E-3</v>
      </c>
      <c r="G15">
        <f t="shared" si="1"/>
        <v>7.1809688567683733E-7</v>
      </c>
      <c r="H15">
        <f t="shared" si="2"/>
        <v>1392569.7492163009</v>
      </c>
    </row>
    <row r="16" spans="1:8" x14ac:dyDescent="0.6">
      <c r="B16">
        <v>16.5</v>
      </c>
      <c r="C16">
        <v>109</v>
      </c>
      <c r="D16">
        <v>8890.85</v>
      </c>
      <c r="E16">
        <v>1.4930000000000001E-2</v>
      </c>
      <c r="F16">
        <f t="shared" si="0"/>
        <v>5.9300000000000012E-3</v>
      </c>
      <c r="G16">
        <f t="shared" si="1"/>
        <v>6.6744741881875329E-7</v>
      </c>
      <c r="H16">
        <f t="shared" si="2"/>
        <v>1498245.3625632375</v>
      </c>
    </row>
    <row r="17" spans="2:8" x14ac:dyDescent="0.6">
      <c r="B17">
        <v>17</v>
      </c>
      <c r="C17">
        <v>111.4</v>
      </c>
      <c r="D17">
        <v>8890</v>
      </c>
      <c r="E17">
        <v>1.452E-2</v>
      </c>
      <c r="F17">
        <f t="shared" si="0"/>
        <v>5.5200000000000006E-3</v>
      </c>
      <c r="G17">
        <f t="shared" si="1"/>
        <v>6.2130012679249887E-7</v>
      </c>
      <c r="H17">
        <f t="shared" si="2"/>
        <v>1609528.0797101445</v>
      </c>
    </row>
    <row r="18" spans="2:8" x14ac:dyDescent="0.6">
      <c r="B18">
        <v>17.5</v>
      </c>
      <c r="C18">
        <v>113.9</v>
      </c>
      <c r="D18">
        <v>8890.57</v>
      </c>
      <c r="E18">
        <v>1.4149999999999999E-2</v>
      </c>
      <c r="F18">
        <f t="shared" si="0"/>
        <v>5.1500000000000001E-3</v>
      </c>
      <c r="G18">
        <f t="shared" si="1"/>
        <v>5.7965500959807397E-7</v>
      </c>
      <c r="H18">
        <f t="shared" si="2"/>
        <v>1725164.0776699029</v>
      </c>
    </row>
    <row r="19" spans="2:8" x14ac:dyDescent="0.6">
      <c r="B19">
        <v>18</v>
      </c>
      <c r="C19">
        <v>116.3</v>
      </c>
      <c r="D19">
        <v>8890.57</v>
      </c>
      <c r="E19">
        <v>1.389E-2</v>
      </c>
      <c r="F19">
        <f t="shared" si="0"/>
        <v>4.8900000000000002E-3</v>
      </c>
      <c r="G19">
        <f t="shared" si="1"/>
        <v>5.5039087319118093E-7</v>
      </c>
      <c r="H19">
        <f t="shared" si="2"/>
        <v>1816890.5930470347</v>
      </c>
    </row>
    <row r="20" spans="2:8" x14ac:dyDescent="0.6">
      <c r="B20">
        <v>18.5</v>
      </c>
      <c r="C20">
        <v>118.8</v>
      </c>
      <c r="D20">
        <v>8888.57</v>
      </c>
      <c r="E20">
        <v>1.359E-2</v>
      </c>
      <c r="F20">
        <f t="shared" si="0"/>
        <v>4.5900000000000003E-3</v>
      </c>
      <c r="G20">
        <f t="shared" si="1"/>
        <v>5.1662456195245827E-7</v>
      </c>
      <c r="H20">
        <f t="shared" si="2"/>
        <v>1935641.6122004353</v>
      </c>
    </row>
    <row r="21" spans="2:8" x14ac:dyDescent="0.6">
      <c r="B21">
        <v>19</v>
      </c>
      <c r="C21">
        <v>121.3</v>
      </c>
      <c r="D21">
        <v>8891.43</v>
      </c>
      <c r="E21">
        <v>1.345E-2</v>
      </c>
      <c r="F21">
        <f t="shared" si="0"/>
        <v>4.4500000000000008E-3</v>
      </c>
      <c r="G21">
        <f t="shared" si="1"/>
        <v>5.0086695004105432E-7</v>
      </c>
      <c r="H21">
        <f t="shared" si="2"/>
        <v>1996538.2022471905</v>
      </c>
    </row>
    <row r="22" spans="2:8" x14ac:dyDescent="0.6">
      <c r="B22">
        <v>19.5</v>
      </c>
      <c r="C22">
        <v>123.7</v>
      </c>
      <c r="D22">
        <v>8889.14</v>
      </c>
      <c r="E22">
        <v>1.32E-2</v>
      </c>
      <c r="F22">
        <f t="shared" si="0"/>
        <v>4.2000000000000006E-3</v>
      </c>
      <c r="G22">
        <f t="shared" si="1"/>
        <v>4.7272835734211867E-7</v>
      </c>
      <c r="H22">
        <f t="shared" si="2"/>
        <v>2115379.7619047617</v>
      </c>
    </row>
    <row r="23" spans="2:8" x14ac:dyDescent="0.6">
      <c r="B23">
        <v>20</v>
      </c>
      <c r="C23">
        <v>126.2</v>
      </c>
      <c r="D23">
        <v>8886.85</v>
      </c>
      <c r="E23">
        <v>1.311E-2</v>
      </c>
      <c r="F23">
        <f t="shared" si="0"/>
        <v>4.1100000000000008E-3</v>
      </c>
      <c r="G23">
        <f t="shared" si="1"/>
        <v>4.6259846397050188E-7</v>
      </c>
      <c r="H23">
        <f t="shared" si="2"/>
        <v>2161701.946472019</v>
      </c>
    </row>
    <row r="24" spans="2:8" x14ac:dyDescent="0.6">
      <c r="B24">
        <v>20.5</v>
      </c>
      <c r="C24">
        <v>128.69999999999999</v>
      </c>
      <c r="D24">
        <v>8887.99</v>
      </c>
      <c r="E24">
        <v>1.295E-2</v>
      </c>
      <c r="F24">
        <f t="shared" si="0"/>
        <v>3.9500000000000004E-3</v>
      </c>
      <c r="G24">
        <f t="shared" si="1"/>
        <v>4.4458976464318301E-7</v>
      </c>
      <c r="H24">
        <f t="shared" si="2"/>
        <v>2249264.5569620249</v>
      </c>
    </row>
    <row r="25" spans="2:8" x14ac:dyDescent="0.6">
      <c r="B25">
        <v>21</v>
      </c>
      <c r="C25">
        <v>131.1</v>
      </c>
      <c r="D25">
        <v>8885.7099999999991</v>
      </c>
      <c r="E25">
        <v>1.2919999999999999E-2</v>
      </c>
      <c r="F25">
        <f t="shared" si="0"/>
        <v>3.9199999999999999E-3</v>
      </c>
      <c r="G25">
        <f t="shared" si="1"/>
        <v>4.4121313351931071E-7</v>
      </c>
      <c r="H25">
        <f t="shared" si="2"/>
        <v>2266478.3163265302</v>
      </c>
    </row>
    <row r="26" spans="2:8" x14ac:dyDescent="0.6">
      <c r="B26">
        <v>21.5</v>
      </c>
      <c r="C26">
        <v>133.6</v>
      </c>
      <c r="D26">
        <v>8887.42</v>
      </c>
      <c r="E26">
        <v>1.278E-2</v>
      </c>
      <c r="F26">
        <f t="shared" si="0"/>
        <v>3.7800000000000004E-3</v>
      </c>
      <c r="G26">
        <f t="shared" si="1"/>
        <v>4.2545552160790682E-7</v>
      </c>
      <c r="H26">
        <f t="shared" si="2"/>
        <v>2350421.9576719571</v>
      </c>
    </row>
    <row r="27" spans="2:8" x14ac:dyDescent="0.6">
      <c r="B27">
        <v>22</v>
      </c>
      <c r="C27">
        <v>136.1</v>
      </c>
      <c r="D27">
        <v>8887.42</v>
      </c>
      <c r="E27">
        <v>1.2630000000000001E-2</v>
      </c>
      <c r="F27">
        <f t="shared" si="0"/>
        <v>3.6300000000000013E-3</v>
      </c>
      <c r="G27">
        <f t="shared" si="1"/>
        <v>4.0857236598854554E-7</v>
      </c>
      <c r="H27">
        <f t="shared" si="2"/>
        <v>2447546.8319559218</v>
      </c>
    </row>
    <row r="28" spans="2:8" x14ac:dyDescent="0.6">
      <c r="B28">
        <v>22.5</v>
      </c>
      <c r="C28">
        <v>138.6</v>
      </c>
      <c r="D28">
        <v>8887.99</v>
      </c>
      <c r="E28">
        <v>1.2619999999999999E-2</v>
      </c>
      <c r="F28">
        <f t="shared" si="0"/>
        <v>3.62E-3</v>
      </c>
      <c r="G28">
        <f t="shared" si="1"/>
        <v>4.0744682228058795E-7</v>
      </c>
      <c r="H28">
        <f t="shared" si="2"/>
        <v>2454308.0110497237</v>
      </c>
    </row>
    <row r="29" spans="2:8" x14ac:dyDescent="0.6">
      <c r="B29">
        <v>23</v>
      </c>
      <c r="C29">
        <v>141.1</v>
      </c>
      <c r="D29">
        <v>8886.2800000000007</v>
      </c>
      <c r="E29">
        <v>1.2500000000000001E-2</v>
      </c>
      <c r="F29">
        <f t="shared" si="0"/>
        <v>3.5000000000000014E-3</v>
      </c>
      <c r="G29">
        <f t="shared" si="1"/>
        <v>3.9394029778509902E-7</v>
      </c>
      <c r="H29">
        <f t="shared" si="2"/>
        <v>2538455.7142857132</v>
      </c>
    </row>
    <row r="30" spans="2:8" x14ac:dyDescent="0.6">
      <c r="B30">
        <v>23.5</v>
      </c>
      <c r="C30">
        <v>143.5</v>
      </c>
      <c r="D30">
        <v>8884.56</v>
      </c>
      <c r="E30">
        <v>1.24E-2</v>
      </c>
      <c r="F30">
        <f t="shared" si="0"/>
        <v>3.4000000000000002E-3</v>
      </c>
      <c r="G30">
        <f t="shared" si="1"/>
        <v>3.8268486070552464E-7</v>
      </c>
      <c r="H30">
        <f t="shared" si="2"/>
        <v>2613116.1764705875</v>
      </c>
    </row>
    <row r="31" spans="2:8" x14ac:dyDescent="0.6">
      <c r="B31">
        <v>24</v>
      </c>
      <c r="C31">
        <v>146</v>
      </c>
      <c r="D31">
        <v>8885.7099999999991</v>
      </c>
      <c r="E31">
        <v>1.24E-2</v>
      </c>
      <c r="F31">
        <f t="shared" si="0"/>
        <v>3.4000000000000002E-3</v>
      </c>
      <c r="G31">
        <f t="shared" si="1"/>
        <v>3.8268486070552464E-7</v>
      </c>
      <c r="H31">
        <f t="shared" si="2"/>
        <v>2613116.1764705875</v>
      </c>
    </row>
    <row r="32" spans="2:8" x14ac:dyDescent="0.6">
      <c r="B32">
        <v>24.5</v>
      </c>
      <c r="C32">
        <v>148.5</v>
      </c>
      <c r="D32">
        <v>8886.2800000000007</v>
      </c>
      <c r="E32">
        <v>1.23E-2</v>
      </c>
      <c r="F32">
        <f t="shared" si="0"/>
        <v>3.3000000000000008E-3</v>
      </c>
      <c r="G32">
        <f t="shared" si="1"/>
        <v>3.7142942362595042E-7</v>
      </c>
      <c r="H32">
        <f t="shared" si="2"/>
        <v>2692301.5151515142</v>
      </c>
    </row>
    <row r="33" spans="2:8" x14ac:dyDescent="0.6">
      <c r="B33">
        <v>25</v>
      </c>
      <c r="C33">
        <v>151</v>
      </c>
      <c r="D33">
        <v>8884.85</v>
      </c>
      <c r="E33">
        <v>1.2279999999999999E-2</v>
      </c>
      <c r="F33">
        <f t="shared" si="0"/>
        <v>3.2799999999999999E-3</v>
      </c>
      <c r="G33">
        <f t="shared" si="1"/>
        <v>3.691783362100355E-7</v>
      </c>
      <c r="H33">
        <f t="shared" si="2"/>
        <v>2708717.9878048776</v>
      </c>
    </row>
    <row r="34" spans="2:8" x14ac:dyDescent="0.6">
      <c r="B34">
        <v>25.5</v>
      </c>
      <c r="C34">
        <v>153.5</v>
      </c>
      <c r="D34">
        <v>8884.56</v>
      </c>
      <c r="E34">
        <v>1.2290000000000001E-2</v>
      </c>
      <c r="F34">
        <f t="shared" si="0"/>
        <v>3.2900000000000013E-3</v>
      </c>
      <c r="G34">
        <f t="shared" si="1"/>
        <v>3.7030387991799304E-7</v>
      </c>
      <c r="H34">
        <f t="shared" si="2"/>
        <v>2700484.8024316099</v>
      </c>
    </row>
    <row r="35" spans="2:8" x14ac:dyDescent="0.6">
      <c r="B35">
        <v>26</v>
      </c>
      <c r="C35">
        <v>156</v>
      </c>
      <c r="D35">
        <v>8885.1299999999992</v>
      </c>
      <c r="E35">
        <v>1.23E-2</v>
      </c>
      <c r="F35">
        <f t="shared" si="0"/>
        <v>3.3000000000000008E-3</v>
      </c>
      <c r="G35">
        <f t="shared" si="1"/>
        <v>3.7142942362595042E-7</v>
      </c>
      <c r="H35">
        <f t="shared" si="2"/>
        <v>2692301.5151515142</v>
      </c>
    </row>
    <row r="36" spans="2:8" x14ac:dyDescent="0.6">
      <c r="B36">
        <v>26.5</v>
      </c>
      <c r="C36">
        <v>158.5</v>
      </c>
      <c r="D36">
        <v>8884.2800000000007</v>
      </c>
      <c r="E36">
        <v>1.23E-2</v>
      </c>
      <c r="F36">
        <f t="shared" si="0"/>
        <v>3.3000000000000008E-3</v>
      </c>
      <c r="G36">
        <f t="shared" si="1"/>
        <v>3.7142942362595042E-7</v>
      </c>
      <c r="H36">
        <f t="shared" si="2"/>
        <v>2692301.5151515142</v>
      </c>
    </row>
    <row r="37" spans="2:8" x14ac:dyDescent="0.6">
      <c r="B37">
        <v>27</v>
      </c>
      <c r="C37">
        <v>161</v>
      </c>
      <c r="D37">
        <v>8884.85</v>
      </c>
      <c r="E37">
        <v>1.23E-2</v>
      </c>
      <c r="F37">
        <f t="shared" si="0"/>
        <v>3.3000000000000008E-3</v>
      </c>
      <c r="G37">
        <f t="shared" si="1"/>
        <v>3.7142942362595042E-7</v>
      </c>
      <c r="H37">
        <f t="shared" si="2"/>
        <v>2692301.5151515142</v>
      </c>
    </row>
    <row r="38" spans="2:8" x14ac:dyDescent="0.6">
      <c r="B38">
        <v>27.5</v>
      </c>
      <c r="C38">
        <v>163.5</v>
      </c>
      <c r="D38">
        <v>8883.99</v>
      </c>
      <c r="E38">
        <v>1.23E-2</v>
      </c>
      <c r="F38">
        <f t="shared" si="0"/>
        <v>3.3000000000000008E-3</v>
      </c>
      <c r="G38">
        <f t="shared" si="1"/>
        <v>3.7142942362595042E-7</v>
      </c>
      <c r="H38">
        <f t="shared" si="2"/>
        <v>2692301.5151515142</v>
      </c>
    </row>
    <row r="39" spans="2:8" x14ac:dyDescent="0.6">
      <c r="B39">
        <v>28</v>
      </c>
      <c r="C39">
        <v>166</v>
      </c>
      <c r="D39">
        <v>8884.56</v>
      </c>
      <c r="E39">
        <v>1.238E-2</v>
      </c>
      <c r="F39">
        <f t="shared" si="0"/>
        <v>3.3800000000000011E-3</v>
      </c>
      <c r="G39">
        <f t="shared" si="1"/>
        <v>3.8043377328960988E-7</v>
      </c>
      <c r="H39">
        <f t="shared" si="2"/>
        <v>2628578.4023668626</v>
      </c>
    </row>
    <row r="40" spans="2:8" x14ac:dyDescent="0.6">
      <c r="B40">
        <v>28.5</v>
      </c>
      <c r="C40">
        <v>168.6</v>
      </c>
      <c r="D40">
        <v>8882.27</v>
      </c>
      <c r="E40">
        <v>1.243E-2</v>
      </c>
      <c r="F40">
        <f t="shared" si="0"/>
        <v>3.4300000000000008E-3</v>
      </c>
      <c r="G40">
        <f t="shared" si="1"/>
        <v>3.8606149182939694E-7</v>
      </c>
      <c r="H40">
        <f t="shared" si="2"/>
        <v>2590260.9329446056</v>
      </c>
    </row>
    <row r="41" spans="2:8" x14ac:dyDescent="0.6">
      <c r="B41">
        <v>29</v>
      </c>
      <c r="C41">
        <v>171.1</v>
      </c>
      <c r="D41">
        <v>8883.7000000000007</v>
      </c>
      <c r="E41">
        <v>1.257E-2</v>
      </c>
      <c r="F41">
        <f t="shared" si="0"/>
        <v>3.5700000000000003E-3</v>
      </c>
      <c r="G41">
        <f t="shared" si="1"/>
        <v>4.0181910374080084E-7</v>
      </c>
      <c r="H41">
        <f t="shared" si="2"/>
        <v>2488682.0728291315</v>
      </c>
    </row>
    <row r="42" spans="2:8" x14ac:dyDescent="0.6">
      <c r="B42">
        <v>29.5</v>
      </c>
      <c r="C42">
        <v>173.6</v>
      </c>
      <c r="D42">
        <v>8884.2800000000007</v>
      </c>
      <c r="E42">
        <v>1.2630000000000001E-2</v>
      </c>
      <c r="F42">
        <f t="shared" si="0"/>
        <v>3.6300000000000013E-3</v>
      </c>
      <c r="G42">
        <f t="shared" si="1"/>
        <v>4.0857236598854554E-7</v>
      </c>
      <c r="H42">
        <f t="shared" si="2"/>
        <v>2447546.8319559218</v>
      </c>
    </row>
    <row r="43" spans="2:8" x14ac:dyDescent="0.6">
      <c r="B43">
        <v>30</v>
      </c>
      <c r="C43">
        <v>176.1</v>
      </c>
      <c r="D43">
        <v>8884.2800000000007</v>
      </c>
      <c r="E43">
        <v>1.295E-2</v>
      </c>
      <c r="F43">
        <f t="shared" si="0"/>
        <v>3.9500000000000004E-3</v>
      </c>
      <c r="G43">
        <f t="shared" si="1"/>
        <v>4.4458976464318301E-7</v>
      </c>
      <c r="H43">
        <f t="shared" si="2"/>
        <v>2249264.5569620249</v>
      </c>
    </row>
    <row r="44" spans="2:8" x14ac:dyDescent="0.6">
      <c r="B44">
        <v>30.5</v>
      </c>
      <c r="C44">
        <v>178.6</v>
      </c>
      <c r="D44">
        <v>8884.85</v>
      </c>
      <c r="E44">
        <v>1.3299999999999999E-2</v>
      </c>
      <c r="F44">
        <f t="shared" si="0"/>
        <v>4.3E-3</v>
      </c>
      <c r="G44">
        <f t="shared" si="1"/>
        <v>4.8398379442169283E-7</v>
      </c>
      <c r="H44">
        <f t="shared" si="2"/>
        <v>2066184.8837209302</v>
      </c>
    </row>
    <row r="45" spans="2:8" x14ac:dyDescent="0.6">
      <c r="B45">
        <v>31</v>
      </c>
      <c r="C45">
        <v>181.2</v>
      </c>
      <c r="D45">
        <v>8883.99</v>
      </c>
      <c r="E45">
        <v>1.397E-2</v>
      </c>
      <c r="F45">
        <f t="shared" si="0"/>
        <v>4.9700000000000005E-3</v>
      </c>
      <c r="G45">
        <f t="shared" si="1"/>
        <v>5.5939522285484039E-7</v>
      </c>
      <c r="H45">
        <f t="shared" si="2"/>
        <v>1787644.8692152915</v>
      </c>
    </row>
    <row r="46" spans="2:8" x14ac:dyDescent="0.6">
      <c r="B46">
        <v>31.5</v>
      </c>
      <c r="C46">
        <v>183.7</v>
      </c>
      <c r="D46">
        <v>8885.7099999999991</v>
      </c>
      <c r="E46">
        <v>1.376E-2</v>
      </c>
      <c r="F46">
        <f t="shared" si="0"/>
        <v>4.7600000000000003E-3</v>
      </c>
      <c r="G46">
        <f t="shared" si="1"/>
        <v>5.3575880498773441E-7</v>
      </c>
      <c r="H46">
        <f t="shared" si="2"/>
        <v>1866511.5546218487</v>
      </c>
    </row>
    <row r="47" spans="2:8" x14ac:dyDescent="0.6">
      <c r="B47">
        <v>32</v>
      </c>
      <c r="C47">
        <v>186.2</v>
      </c>
      <c r="D47">
        <v>8885.99</v>
      </c>
      <c r="E47">
        <v>1.3270000000000001E-2</v>
      </c>
      <c r="F47">
        <f t="shared" si="0"/>
        <v>4.2700000000000012E-3</v>
      </c>
      <c r="G47">
        <f t="shared" si="1"/>
        <v>4.8060716329782075E-7</v>
      </c>
      <c r="H47">
        <f t="shared" si="2"/>
        <v>2080701.405152224</v>
      </c>
    </row>
    <row r="48" spans="2:8" x14ac:dyDescent="0.6">
      <c r="B48">
        <v>32.5</v>
      </c>
      <c r="C48">
        <v>188.8</v>
      </c>
      <c r="D48">
        <v>8883.42</v>
      </c>
      <c r="E48">
        <v>1.285E-2</v>
      </c>
      <c r="F48">
        <f t="shared" si="0"/>
        <v>3.850000000000001E-3</v>
      </c>
      <c r="G48">
        <f t="shared" si="1"/>
        <v>4.3333432756360884E-7</v>
      </c>
      <c r="H48">
        <f t="shared" si="2"/>
        <v>2307687.012987012</v>
      </c>
    </row>
    <row r="49" spans="2:13" x14ac:dyDescent="0.6">
      <c r="B49">
        <v>33</v>
      </c>
      <c r="C49">
        <v>191.3</v>
      </c>
      <c r="D49">
        <v>8882.85</v>
      </c>
      <c r="E49">
        <v>1.257E-2</v>
      </c>
      <c r="F49">
        <f t="shared" si="0"/>
        <v>3.5700000000000003E-3</v>
      </c>
      <c r="G49">
        <f t="shared" si="1"/>
        <v>4.0181910374080084E-7</v>
      </c>
      <c r="H49">
        <f t="shared" si="2"/>
        <v>2488682.0728291315</v>
      </c>
    </row>
    <row r="50" spans="2:13" x14ac:dyDescent="0.6">
      <c r="B50">
        <v>33.5</v>
      </c>
      <c r="C50">
        <v>193.9</v>
      </c>
      <c r="D50">
        <v>8884.56</v>
      </c>
      <c r="E50">
        <v>1.231E-2</v>
      </c>
      <c r="F50">
        <f t="shared" si="0"/>
        <v>3.3100000000000004E-3</v>
      </c>
      <c r="G50">
        <f t="shared" si="1"/>
        <v>3.725549673339078E-7</v>
      </c>
      <c r="H50">
        <f t="shared" si="2"/>
        <v>2684167.6737160115</v>
      </c>
    </row>
    <row r="51" spans="2:13" x14ac:dyDescent="0.6">
      <c r="B51">
        <v>34</v>
      </c>
      <c r="C51">
        <v>196.4</v>
      </c>
      <c r="D51">
        <v>8881.7000000000007</v>
      </c>
      <c r="E51">
        <v>1.208E-2</v>
      </c>
      <c r="F51">
        <f t="shared" si="0"/>
        <v>3.0800000000000011E-3</v>
      </c>
      <c r="G51">
        <f t="shared" si="1"/>
        <v>3.4666746205088712E-7</v>
      </c>
      <c r="H51">
        <f t="shared" si="2"/>
        <v>2884608.7662337651</v>
      </c>
    </row>
    <row r="52" spans="2:13" x14ac:dyDescent="0.6">
      <c r="B52">
        <v>34.5</v>
      </c>
      <c r="C52">
        <v>199</v>
      </c>
      <c r="D52">
        <v>8883.7000000000007</v>
      </c>
      <c r="E52">
        <v>1.184E-2</v>
      </c>
      <c r="F52">
        <f t="shared" si="0"/>
        <v>2.8400000000000005E-3</v>
      </c>
      <c r="G52">
        <f t="shared" si="1"/>
        <v>3.1965441305990884E-7</v>
      </c>
      <c r="H52">
        <f t="shared" si="2"/>
        <v>3128378.5211267597</v>
      </c>
    </row>
    <row r="53" spans="2:13" x14ac:dyDescent="0.6">
      <c r="B53">
        <v>35</v>
      </c>
      <c r="C53">
        <v>201.5</v>
      </c>
      <c r="D53">
        <v>8882.85</v>
      </c>
      <c r="E53">
        <v>1.1679999999999999E-2</v>
      </c>
      <c r="F53">
        <f t="shared" si="0"/>
        <v>2.6800000000000001E-3</v>
      </c>
      <c r="G53">
        <f t="shared" si="1"/>
        <v>3.0164571373258997E-7</v>
      </c>
      <c r="H53">
        <f t="shared" si="2"/>
        <v>3315147.3880597013</v>
      </c>
    </row>
    <row r="54" spans="2:13" x14ac:dyDescent="0.6">
      <c r="B54">
        <v>35.5</v>
      </c>
      <c r="C54">
        <v>204.1</v>
      </c>
      <c r="D54">
        <v>8881.42</v>
      </c>
      <c r="E54">
        <v>1.1520000000000001E-2</v>
      </c>
      <c r="F54">
        <f t="shared" si="0"/>
        <v>2.5200000000000014E-3</v>
      </c>
      <c r="G54">
        <f t="shared" si="1"/>
        <v>2.8363701440527132E-7</v>
      </c>
      <c r="H54">
        <f t="shared" si="2"/>
        <v>3525632.9365079342</v>
      </c>
    </row>
    <row r="55" spans="2:13" x14ac:dyDescent="0.6">
      <c r="B55">
        <v>36</v>
      </c>
      <c r="C55">
        <v>206.6</v>
      </c>
      <c r="D55">
        <v>8881.42</v>
      </c>
      <c r="E55">
        <v>1.1429999999999999E-2</v>
      </c>
      <c r="F55">
        <f t="shared" si="0"/>
        <v>2.4299999999999999E-3</v>
      </c>
      <c r="G55">
        <f t="shared" si="1"/>
        <v>2.7350712103365432E-7</v>
      </c>
      <c r="H55">
        <f t="shared" si="2"/>
        <v>3656211.9341563787</v>
      </c>
    </row>
    <row r="56" spans="2:13" x14ac:dyDescent="0.6">
      <c r="B56">
        <v>36.5</v>
      </c>
      <c r="C56">
        <v>209.2</v>
      </c>
      <c r="D56">
        <v>8883.42</v>
      </c>
      <c r="E56">
        <v>1.123E-2</v>
      </c>
      <c r="F56">
        <f t="shared" si="0"/>
        <v>2.2300000000000011E-3</v>
      </c>
      <c r="G56">
        <f t="shared" si="1"/>
        <v>2.5099624687450593E-7</v>
      </c>
      <c r="H56">
        <f t="shared" si="2"/>
        <v>3984123.3183856485</v>
      </c>
    </row>
    <row r="57" spans="2:13" x14ac:dyDescent="0.6">
      <c r="B57">
        <v>37</v>
      </c>
      <c r="C57">
        <v>211.7</v>
      </c>
      <c r="D57">
        <v>8884.2800000000007</v>
      </c>
      <c r="E57">
        <v>1.1129999999999999E-2</v>
      </c>
      <c r="F57">
        <f t="shared" si="0"/>
        <v>2.1299999999999999E-3</v>
      </c>
      <c r="G57">
        <f t="shared" si="1"/>
        <v>2.3974080979493155E-7</v>
      </c>
      <c r="H57">
        <f t="shared" si="2"/>
        <v>4171171.3615023475</v>
      </c>
    </row>
    <row r="58" spans="2:13" x14ac:dyDescent="0.6">
      <c r="B58">
        <v>37.5</v>
      </c>
      <c r="C58">
        <v>214.3</v>
      </c>
      <c r="D58">
        <v>8882.56</v>
      </c>
      <c r="E58">
        <v>1.107E-2</v>
      </c>
      <c r="F58">
        <f t="shared" si="0"/>
        <v>2.0700000000000007E-3</v>
      </c>
      <c r="G58">
        <f t="shared" si="1"/>
        <v>2.3298754754718711E-7</v>
      </c>
      <c r="H58">
        <f t="shared" si="2"/>
        <v>4292074.8792270515</v>
      </c>
    </row>
    <row r="59" spans="2:13" x14ac:dyDescent="0.6">
      <c r="B59">
        <v>38</v>
      </c>
      <c r="C59">
        <v>216.9</v>
      </c>
      <c r="D59">
        <v>8882.85</v>
      </c>
      <c r="E59">
        <v>1.098E-2</v>
      </c>
      <c r="F59">
        <f t="shared" si="0"/>
        <v>1.9800000000000009E-3</v>
      </c>
      <c r="G59">
        <f t="shared" si="1"/>
        <v>2.228576541755703E-7</v>
      </c>
      <c r="H59">
        <f t="shared" si="2"/>
        <v>4487169.1919191899</v>
      </c>
    </row>
    <row r="60" spans="2:13" x14ac:dyDescent="0.6">
      <c r="B60">
        <v>38.5</v>
      </c>
      <c r="C60">
        <v>219.5</v>
      </c>
      <c r="D60">
        <v>8882.85</v>
      </c>
      <c r="E60">
        <v>1.091E-2</v>
      </c>
      <c r="F60">
        <f t="shared" si="0"/>
        <v>1.9100000000000002E-3</v>
      </c>
      <c r="G60">
        <f t="shared" si="1"/>
        <v>2.1497884821986825E-7</v>
      </c>
      <c r="H60">
        <f t="shared" si="2"/>
        <v>4651620.4188481672</v>
      </c>
      <c r="L60" t="s">
        <v>44</v>
      </c>
      <c r="M60" t="s">
        <v>45</v>
      </c>
    </row>
    <row r="61" spans="2:13" x14ac:dyDescent="0.6">
      <c r="B61">
        <v>39</v>
      </c>
      <c r="C61">
        <v>222</v>
      </c>
      <c r="D61">
        <v>8882.85</v>
      </c>
      <c r="E61">
        <v>1.0840000000000001E-2</v>
      </c>
      <c r="F61">
        <f t="shared" si="0"/>
        <v>1.8400000000000014E-3</v>
      </c>
      <c r="G61">
        <f t="shared" si="1"/>
        <v>2.071000422641664E-7</v>
      </c>
      <c r="H61">
        <f t="shared" si="2"/>
        <v>4828584.2391304309</v>
      </c>
      <c r="K61" t="s">
        <v>42</v>
      </c>
      <c r="L61">
        <v>92</v>
      </c>
      <c r="M61">
        <v>90</v>
      </c>
    </row>
    <row r="62" spans="2:13" x14ac:dyDescent="0.6">
      <c r="B62">
        <v>39.5</v>
      </c>
      <c r="C62">
        <v>224.6</v>
      </c>
      <c r="D62">
        <v>8881.7000000000007</v>
      </c>
      <c r="E62">
        <v>1.074E-2</v>
      </c>
      <c r="F62">
        <f t="shared" si="0"/>
        <v>1.7400000000000002E-3</v>
      </c>
      <c r="G62">
        <f t="shared" si="1"/>
        <v>1.9584460518459202E-7</v>
      </c>
      <c r="H62">
        <f t="shared" si="2"/>
        <v>5106089.0804597689</v>
      </c>
      <c r="K62" t="s">
        <v>43</v>
      </c>
      <c r="L62">
        <v>181</v>
      </c>
      <c r="M62">
        <v>179</v>
      </c>
    </row>
    <row r="63" spans="2:13" x14ac:dyDescent="0.6">
      <c r="B63">
        <v>40</v>
      </c>
      <c r="C63">
        <v>227.2</v>
      </c>
      <c r="D63">
        <v>8881.42</v>
      </c>
      <c r="E63">
        <v>1.069E-2</v>
      </c>
      <c r="F63">
        <f t="shared" si="0"/>
        <v>1.6900000000000005E-3</v>
      </c>
      <c r="G63">
        <f t="shared" si="1"/>
        <v>1.9021688664480494E-7</v>
      </c>
      <c r="H63">
        <f t="shared" si="2"/>
        <v>5257156.8047337253</v>
      </c>
    </row>
    <row r="64" spans="2:13" x14ac:dyDescent="0.6">
      <c r="B64">
        <v>40.5</v>
      </c>
      <c r="C64">
        <v>229.8</v>
      </c>
      <c r="D64">
        <v>8881.42</v>
      </c>
      <c r="E64">
        <v>1.0659999999999999E-2</v>
      </c>
      <c r="F64">
        <f t="shared" si="0"/>
        <v>1.66E-3</v>
      </c>
      <c r="G64">
        <f t="shared" si="1"/>
        <v>1.8684025552093259E-7</v>
      </c>
      <c r="H64">
        <f t="shared" si="2"/>
        <v>5352165.6626506019</v>
      </c>
    </row>
    <row r="65" spans="2:8" x14ac:dyDescent="0.6">
      <c r="B65">
        <v>41</v>
      </c>
      <c r="C65">
        <v>232.3</v>
      </c>
      <c r="D65">
        <v>8881.42</v>
      </c>
      <c r="E65">
        <v>1.059E-2</v>
      </c>
      <c r="F65">
        <f t="shared" si="0"/>
        <v>1.5900000000000011E-3</v>
      </c>
      <c r="G65">
        <f t="shared" si="1"/>
        <v>1.7896144956523075E-7</v>
      </c>
      <c r="H65">
        <f t="shared" si="2"/>
        <v>5587795.597484272</v>
      </c>
    </row>
    <row r="66" spans="2:8" x14ac:dyDescent="0.6">
      <c r="B66">
        <v>41.5</v>
      </c>
      <c r="C66">
        <v>234.6</v>
      </c>
      <c r="D66">
        <v>8881.42</v>
      </c>
      <c r="E66">
        <v>1.056E-2</v>
      </c>
      <c r="F66">
        <f t="shared" si="0"/>
        <v>1.5600000000000006E-3</v>
      </c>
      <c r="G66">
        <f t="shared" si="1"/>
        <v>1.7558481844135842E-7</v>
      </c>
      <c r="H66">
        <f t="shared" si="2"/>
        <v>5695253.2051282022</v>
      </c>
    </row>
    <row r="67" spans="2:8" x14ac:dyDescent="0.6">
      <c r="B67">
        <v>42</v>
      </c>
      <c r="C67">
        <v>237.5</v>
      </c>
      <c r="D67">
        <v>8880.84</v>
      </c>
      <c r="E67">
        <v>1.0500000000000001E-2</v>
      </c>
      <c r="F67">
        <f t="shared" si="0"/>
        <v>1.5000000000000013E-3</v>
      </c>
      <c r="G67">
        <f t="shared" si="1"/>
        <v>1.6883155619361393E-7</v>
      </c>
      <c r="H67">
        <f t="shared" si="2"/>
        <v>5923063.3333333274</v>
      </c>
    </row>
    <row r="68" spans="2:8" x14ac:dyDescent="0.6">
      <c r="B68">
        <v>42.5</v>
      </c>
      <c r="C68">
        <v>240.1</v>
      </c>
      <c r="D68">
        <v>8882.27</v>
      </c>
      <c r="E68">
        <v>1.051E-2</v>
      </c>
      <c r="F68">
        <f t="shared" si="0"/>
        <v>1.5100000000000009E-3</v>
      </c>
      <c r="G68">
        <f t="shared" si="1"/>
        <v>1.6995709990157131E-7</v>
      </c>
      <c r="H68">
        <f t="shared" si="2"/>
        <v>5883837.7483443674</v>
      </c>
    </row>
    <row r="69" spans="2:8" x14ac:dyDescent="0.6">
      <c r="B69">
        <v>43</v>
      </c>
      <c r="C69">
        <v>242.7</v>
      </c>
      <c r="D69">
        <v>8881.1299999999992</v>
      </c>
      <c r="E69">
        <v>1.044E-2</v>
      </c>
      <c r="F69">
        <f t="shared" ref="F69:F91" si="3">E69-0.009</f>
        <v>1.4400000000000003E-3</v>
      </c>
      <c r="G69">
        <f t="shared" ref="G69:G91" si="4">F69/8884.595</f>
        <v>1.6207829394586929E-7</v>
      </c>
      <c r="H69">
        <f t="shared" ref="H69:H91" si="5">1/G69</f>
        <v>6169857.6388888862</v>
      </c>
    </row>
    <row r="70" spans="2:8" x14ac:dyDescent="0.6">
      <c r="B70">
        <v>43.5</v>
      </c>
      <c r="C70">
        <v>245.3</v>
      </c>
      <c r="D70">
        <v>8880.56</v>
      </c>
      <c r="E70">
        <v>1.043E-2</v>
      </c>
      <c r="F70">
        <f t="shared" si="3"/>
        <v>1.4300000000000007E-3</v>
      </c>
      <c r="G70">
        <f t="shared" si="4"/>
        <v>1.6095275023791191E-7</v>
      </c>
      <c r="H70">
        <f t="shared" si="5"/>
        <v>6213003.4965034928</v>
      </c>
    </row>
    <row r="71" spans="2:8" x14ac:dyDescent="0.6">
      <c r="B71">
        <v>44</v>
      </c>
      <c r="C71">
        <v>247.9</v>
      </c>
      <c r="D71">
        <v>8880.27</v>
      </c>
      <c r="E71">
        <v>1.038E-2</v>
      </c>
      <c r="F71">
        <f t="shared" si="3"/>
        <v>1.380000000000001E-3</v>
      </c>
      <c r="G71">
        <f t="shared" si="4"/>
        <v>1.553250316981248E-7</v>
      </c>
      <c r="H71">
        <f t="shared" si="5"/>
        <v>6438112.3188405745</v>
      </c>
    </row>
    <row r="72" spans="2:8" x14ac:dyDescent="0.6">
      <c r="B72">
        <v>44.5</v>
      </c>
      <c r="C72">
        <v>250.5</v>
      </c>
      <c r="D72">
        <v>8879.1299999999992</v>
      </c>
      <c r="E72">
        <v>1.0370000000000001E-2</v>
      </c>
      <c r="F72">
        <f t="shared" si="3"/>
        <v>1.3700000000000014E-3</v>
      </c>
      <c r="G72">
        <f t="shared" si="4"/>
        <v>1.5419948799016742E-7</v>
      </c>
      <c r="H72">
        <f t="shared" si="5"/>
        <v>6485105.8394160513</v>
      </c>
    </row>
    <row r="73" spans="2:8" x14ac:dyDescent="0.6">
      <c r="B73">
        <v>45</v>
      </c>
      <c r="C73">
        <v>253.1</v>
      </c>
      <c r="D73">
        <v>8879.7000000000007</v>
      </c>
      <c r="E73">
        <v>1.03E-2</v>
      </c>
      <c r="F73">
        <f t="shared" si="3"/>
        <v>1.3000000000000008E-3</v>
      </c>
      <c r="G73">
        <f t="shared" si="4"/>
        <v>1.4632068203446539E-7</v>
      </c>
      <c r="H73">
        <f t="shared" si="5"/>
        <v>6834303.8461538404</v>
      </c>
    </row>
    <row r="74" spans="2:8" x14ac:dyDescent="0.6">
      <c r="B74">
        <v>45.5</v>
      </c>
      <c r="C74">
        <v>255.7</v>
      </c>
      <c r="D74">
        <v>8880.56</v>
      </c>
      <c r="E74">
        <v>1.023E-2</v>
      </c>
      <c r="F74">
        <f t="shared" si="3"/>
        <v>1.2300000000000002E-3</v>
      </c>
      <c r="G74">
        <f t="shared" si="4"/>
        <v>1.3844187607876333E-7</v>
      </c>
      <c r="H74">
        <f t="shared" si="5"/>
        <v>7223247.9674796732</v>
      </c>
    </row>
    <row r="75" spans="2:8" x14ac:dyDescent="0.6">
      <c r="B75">
        <v>46</v>
      </c>
      <c r="C75">
        <v>258.39999999999998</v>
      </c>
      <c r="D75">
        <v>8879.99</v>
      </c>
      <c r="E75">
        <v>1.026E-2</v>
      </c>
      <c r="F75">
        <f t="shared" si="3"/>
        <v>1.2600000000000007E-3</v>
      </c>
      <c r="G75">
        <f t="shared" si="4"/>
        <v>1.4181850720263566E-7</v>
      </c>
      <c r="H75">
        <f t="shared" si="5"/>
        <v>7051265.8730158685</v>
      </c>
    </row>
    <row r="76" spans="2:8" x14ac:dyDescent="0.6">
      <c r="B76">
        <v>46.5</v>
      </c>
      <c r="C76">
        <v>261</v>
      </c>
      <c r="D76">
        <v>8880.27</v>
      </c>
      <c r="E76">
        <v>1.022E-2</v>
      </c>
      <c r="F76">
        <f t="shared" si="3"/>
        <v>1.2200000000000006E-3</v>
      </c>
      <c r="G76">
        <f t="shared" si="4"/>
        <v>1.3731633237080595E-7</v>
      </c>
      <c r="H76">
        <f t="shared" si="5"/>
        <v>7282454.9180327822</v>
      </c>
    </row>
    <row r="77" spans="2:8" x14ac:dyDescent="0.6">
      <c r="B77">
        <v>47</v>
      </c>
      <c r="C77">
        <v>263.60000000000002</v>
      </c>
      <c r="D77">
        <v>8880.84</v>
      </c>
      <c r="E77">
        <v>1.0200000000000001E-2</v>
      </c>
      <c r="F77">
        <f t="shared" si="3"/>
        <v>1.2000000000000014E-3</v>
      </c>
      <c r="G77">
        <f t="shared" si="4"/>
        <v>1.3506524495489119E-7</v>
      </c>
      <c r="H77">
        <f t="shared" si="5"/>
        <v>7403829.1666666567</v>
      </c>
    </row>
    <row r="78" spans="2:8" x14ac:dyDescent="0.6">
      <c r="B78">
        <v>47.5</v>
      </c>
      <c r="C78">
        <v>266.2</v>
      </c>
      <c r="D78">
        <v>8877.7000000000007</v>
      </c>
      <c r="E78">
        <v>1.0160000000000001E-2</v>
      </c>
      <c r="F78">
        <f t="shared" si="3"/>
        <v>1.1600000000000013E-3</v>
      </c>
      <c r="G78">
        <f t="shared" si="4"/>
        <v>1.3056307012306149E-7</v>
      </c>
      <c r="H78">
        <f t="shared" si="5"/>
        <v>7659133.6206896454</v>
      </c>
    </row>
    <row r="79" spans="2:8" x14ac:dyDescent="0.6">
      <c r="B79">
        <v>48</v>
      </c>
      <c r="C79">
        <v>268.2</v>
      </c>
      <c r="D79">
        <v>8879.41</v>
      </c>
      <c r="E79">
        <v>1.014E-2</v>
      </c>
      <c r="F79">
        <f t="shared" si="3"/>
        <v>1.1400000000000004E-3</v>
      </c>
      <c r="G79">
        <f t="shared" si="4"/>
        <v>1.2831198270714652E-7</v>
      </c>
      <c r="H79">
        <f t="shared" si="5"/>
        <v>7793504.3859649096</v>
      </c>
    </row>
    <row r="80" spans="2:8" x14ac:dyDescent="0.6">
      <c r="B80">
        <v>48.5</v>
      </c>
      <c r="C80">
        <v>271.5</v>
      </c>
      <c r="D80">
        <v>8878.56</v>
      </c>
      <c r="E80">
        <v>1.0149999999999999E-2</v>
      </c>
      <c r="F80">
        <f t="shared" si="3"/>
        <v>1.15E-3</v>
      </c>
      <c r="G80">
        <f t="shared" si="4"/>
        <v>1.294375264151039E-7</v>
      </c>
      <c r="H80">
        <f t="shared" si="5"/>
        <v>7725734.7826086953</v>
      </c>
    </row>
    <row r="81" spans="2:8" x14ac:dyDescent="0.6">
      <c r="B81">
        <v>49</v>
      </c>
      <c r="C81">
        <v>274.10000000000002</v>
      </c>
      <c r="D81">
        <v>8880.27</v>
      </c>
      <c r="E81">
        <v>1.009E-2</v>
      </c>
      <c r="F81">
        <f t="shared" si="3"/>
        <v>1.0900000000000007E-3</v>
      </c>
      <c r="G81">
        <f t="shared" si="4"/>
        <v>1.2268426416735944E-7</v>
      </c>
      <c r="H81">
        <f t="shared" si="5"/>
        <v>8151004.5871559568</v>
      </c>
    </row>
    <row r="82" spans="2:8" x14ac:dyDescent="0.6">
      <c r="B82">
        <v>49.5</v>
      </c>
      <c r="C82">
        <v>276.7</v>
      </c>
      <c r="D82">
        <v>8877.98</v>
      </c>
      <c r="E82">
        <v>1.0070000000000001E-2</v>
      </c>
      <c r="F82">
        <f t="shared" si="3"/>
        <v>1.0700000000000015E-3</v>
      </c>
      <c r="G82">
        <f t="shared" si="4"/>
        <v>1.2043317675144468E-7</v>
      </c>
      <c r="H82">
        <f t="shared" si="5"/>
        <v>8303359.8130840994</v>
      </c>
    </row>
    <row r="83" spans="2:8" x14ac:dyDescent="0.6">
      <c r="B83">
        <v>50</v>
      </c>
      <c r="C83">
        <v>279.39999999999998</v>
      </c>
      <c r="D83">
        <v>8880.84</v>
      </c>
      <c r="E83">
        <v>1.0019999999999999E-2</v>
      </c>
      <c r="F83">
        <f t="shared" si="3"/>
        <v>1.0200000000000001E-3</v>
      </c>
      <c r="G83">
        <f t="shared" si="4"/>
        <v>1.1480545821165738E-7</v>
      </c>
      <c r="H83">
        <f t="shared" si="5"/>
        <v>8710387.2549019605</v>
      </c>
    </row>
    <row r="84" spans="2:8" x14ac:dyDescent="0.6">
      <c r="B84">
        <v>50.5</v>
      </c>
      <c r="C84">
        <v>282</v>
      </c>
      <c r="D84">
        <v>8877.98</v>
      </c>
      <c r="E84">
        <v>1.004E-2</v>
      </c>
      <c r="F84">
        <f t="shared" si="3"/>
        <v>1.040000000000001E-3</v>
      </c>
      <c r="G84">
        <f t="shared" si="4"/>
        <v>1.1705654562757234E-7</v>
      </c>
      <c r="H84">
        <f t="shared" si="5"/>
        <v>8542879.8076922987</v>
      </c>
    </row>
    <row r="85" spans="2:8" x14ac:dyDescent="0.6">
      <c r="B85">
        <v>51</v>
      </c>
      <c r="C85">
        <v>284.7</v>
      </c>
      <c r="D85">
        <v>8878.56</v>
      </c>
      <c r="E85">
        <v>1.0019999999999999E-2</v>
      </c>
      <c r="F85">
        <f t="shared" si="3"/>
        <v>1.0200000000000001E-3</v>
      </c>
      <c r="G85">
        <f t="shared" si="4"/>
        <v>1.1480545821165738E-7</v>
      </c>
      <c r="H85">
        <f t="shared" si="5"/>
        <v>8710387.2549019605</v>
      </c>
    </row>
    <row r="86" spans="2:8" x14ac:dyDescent="0.6">
      <c r="B86">
        <v>51.5</v>
      </c>
      <c r="C86">
        <v>287.3</v>
      </c>
      <c r="D86">
        <v>8877.1299999999992</v>
      </c>
      <c r="E86">
        <v>9.9699999999999997E-3</v>
      </c>
      <c r="F86">
        <f t="shared" si="3"/>
        <v>9.7000000000000038E-4</v>
      </c>
      <c r="G86">
        <f t="shared" si="4"/>
        <v>1.091777396718703E-7</v>
      </c>
      <c r="H86">
        <f t="shared" si="5"/>
        <v>9159376.2886597887</v>
      </c>
    </row>
    <row r="87" spans="2:8" x14ac:dyDescent="0.6">
      <c r="B87">
        <v>52</v>
      </c>
      <c r="C87">
        <v>289.89999999999998</v>
      </c>
      <c r="D87">
        <v>8879.7000000000007</v>
      </c>
      <c r="E87">
        <v>9.9399999999999992E-3</v>
      </c>
      <c r="F87">
        <f t="shared" si="3"/>
        <v>9.3999999999999986E-4</v>
      </c>
      <c r="G87">
        <f t="shared" si="4"/>
        <v>1.0580110854799796E-7</v>
      </c>
      <c r="H87">
        <f t="shared" si="5"/>
        <v>9451696.8085106388</v>
      </c>
    </row>
    <row r="88" spans="2:8" x14ac:dyDescent="0.6">
      <c r="B88">
        <v>52.5</v>
      </c>
      <c r="C88">
        <v>292.60000000000002</v>
      </c>
      <c r="D88">
        <v>8879.7000000000007</v>
      </c>
      <c r="E88">
        <v>9.9799999999999993E-3</v>
      </c>
      <c r="F88">
        <f t="shared" si="3"/>
        <v>9.7999999999999997E-4</v>
      </c>
      <c r="G88">
        <f t="shared" si="4"/>
        <v>1.1030328337982768E-7</v>
      </c>
      <c r="H88">
        <f t="shared" si="5"/>
        <v>9065913.2653061207</v>
      </c>
    </row>
    <row r="89" spans="2:8" x14ac:dyDescent="0.6">
      <c r="B89">
        <v>53</v>
      </c>
      <c r="C89">
        <v>295.3</v>
      </c>
      <c r="D89">
        <v>8878.27</v>
      </c>
      <c r="E89">
        <v>9.9600000000000001E-3</v>
      </c>
      <c r="F89">
        <f t="shared" si="3"/>
        <v>9.6000000000000078E-4</v>
      </c>
      <c r="G89">
        <f t="shared" si="4"/>
        <v>1.0805219596391292E-7</v>
      </c>
      <c r="H89">
        <f t="shared" si="5"/>
        <v>9254786.4583333246</v>
      </c>
    </row>
    <row r="90" spans="2:8" x14ac:dyDescent="0.6">
      <c r="B90">
        <v>53.5</v>
      </c>
      <c r="C90">
        <v>297.89999999999998</v>
      </c>
      <c r="D90">
        <v>8879.7000000000007</v>
      </c>
      <c r="E90">
        <v>9.9100000000000004E-3</v>
      </c>
      <c r="F90">
        <f t="shared" si="3"/>
        <v>9.1000000000000109E-4</v>
      </c>
      <c r="G90">
        <f t="shared" si="4"/>
        <v>1.0242447742412582E-7</v>
      </c>
      <c r="H90">
        <f t="shared" si="5"/>
        <v>9763291.2087911963</v>
      </c>
    </row>
    <row r="91" spans="2:8" x14ac:dyDescent="0.6">
      <c r="B91">
        <v>54</v>
      </c>
      <c r="C91">
        <v>300.60000000000002</v>
      </c>
      <c r="D91">
        <v>8878.27</v>
      </c>
      <c r="E91">
        <v>9.9299999999999996E-3</v>
      </c>
      <c r="F91">
        <f t="shared" si="3"/>
        <v>9.3000000000000027E-4</v>
      </c>
      <c r="G91">
        <f t="shared" si="4"/>
        <v>1.0467556484004058E-7</v>
      </c>
      <c r="H91">
        <f t="shared" si="5"/>
        <v>9553327.9569892436</v>
      </c>
    </row>
    <row r="93" spans="2:8" x14ac:dyDescent="0.6">
      <c r="D93">
        <f>AVERAGE(D4:D91)</f>
        <v>8884.5950000000012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Ni</vt:lpstr>
      <vt:lpstr>J=1|2</vt:lpstr>
      <vt:lpstr>J=1</vt:lpstr>
      <vt:lpstr>J=∞</vt:lpstr>
      <vt:lpstr>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上野智也</cp:lastModifiedBy>
  <dcterms:created xsi:type="dcterms:W3CDTF">2021-10-13T04:00:51Z</dcterms:created>
  <dcterms:modified xsi:type="dcterms:W3CDTF">2021-12-11T15:48:36Z</dcterms:modified>
</cp:coreProperties>
</file>