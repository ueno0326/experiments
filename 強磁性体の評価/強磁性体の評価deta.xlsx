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k\Downloads\"/>
    </mc:Choice>
  </mc:AlternateContent>
  <xr:revisionPtr revIDLastSave="0" documentId="13_ncr:1_{E6E387CA-A0B9-4A8A-8765-E13564194F2E}" xr6:coauthVersionLast="47" xr6:coauthVersionMax="47" xr10:uidLastSave="{00000000-0000-0000-0000-000000000000}"/>
  <bookViews>
    <workbookView xWindow="-110" yWindow="-110" windowWidth="19420" windowHeight="10420" xr2:uid="{950026CE-BF62-9B42-AD12-6858E93DF20F}"/>
  </bookViews>
  <sheets>
    <sheet name="Ni" sheetId="2" r:id="rId1"/>
    <sheet name="Dy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3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4" i="1"/>
  <c r="D93" i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3" i="2"/>
  <c r="K3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4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3" i="2"/>
  <c r="C28" i="2"/>
</calcChain>
</file>

<file path=xl/sharedStrings.xml><?xml version="1.0" encoding="utf-8"?>
<sst xmlns="http://schemas.openxmlformats.org/spreadsheetml/2006/main" count="18" uniqueCount="14">
  <si>
    <t>Dy</t>
    <phoneticPr fontId="1"/>
  </si>
  <si>
    <t>mV</t>
    <phoneticPr fontId="1"/>
  </si>
  <si>
    <t>T(K)</t>
    <phoneticPr fontId="1"/>
  </si>
  <si>
    <t>H(max)</t>
    <phoneticPr fontId="1"/>
  </si>
  <si>
    <t>B(max)</t>
    <phoneticPr fontId="1"/>
  </si>
  <si>
    <t>Ni</t>
    <phoneticPr fontId="1"/>
  </si>
  <si>
    <t>T(℃)</t>
    <rPh sb="2" eb="3">
      <t>do</t>
    </rPh>
    <phoneticPr fontId="1"/>
  </si>
  <si>
    <t>I(T)</t>
    <phoneticPr fontId="1"/>
  </si>
  <si>
    <t>I0</t>
    <phoneticPr fontId="1"/>
  </si>
  <si>
    <t>θ(K)</t>
    <phoneticPr fontId="1"/>
  </si>
  <si>
    <t>T/θ</t>
    <phoneticPr fontId="1"/>
  </si>
  <si>
    <t>I/I0</t>
    <phoneticPr fontId="1"/>
  </si>
  <si>
    <t>χ</t>
    <phoneticPr fontId="1"/>
  </si>
  <si>
    <t>1/χ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</si>
</sst>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 b="0" i="0" u="none" strike="noStrike" baseline="0">
                <a:effectLst/>
              </a:rPr>
              <a:t>ニッケルの磁化</a:t>
            </a:r>
            <a:r>
              <a:rPr lang="en-US" altLang="ja-JP" sz="1800" b="0" i="0" u="none" strike="noStrike" baseline="0">
                <a:effectLst/>
              </a:rPr>
              <a:t>I</a:t>
            </a:r>
            <a:r>
              <a:rPr lang="ja-JP" altLang="en-US" sz="1800" b="0" i="0" u="none" strike="noStrike" baseline="0">
                <a:effectLst/>
              </a:rPr>
              <a:t>と温度</a:t>
            </a:r>
            <a:r>
              <a:rPr lang="en-US" altLang="ja-JP" sz="1800" b="0" i="0" u="none" strike="noStrike" baseline="0">
                <a:effectLst/>
              </a:rPr>
              <a:t>T</a:t>
            </a:r>
            <a:r>
              <a:rPr lang="ja-JP" altLang="en-US" sz="1800" b="0" i="0" u="none" strike="noStrike" baseline="0">
                <a:effectLst/>
              </a:rPr>
              <a:t>の関係のグラフ</a:t>
            </a:r>
            <a:endParaRPr lang="ja-JP" alt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Ni!$F$3:$F$27</c:f>
              <c:numCache>
                <c:formatCode>General</c:formatCode>
                <c:ptCount val="25"/>
                <c:pt idx="0">
                  <c:v>296</c:v>
                </c:pt>
                <c:pt idx="1">
                  <c:v>323</c:v>
                </c:pt>
                <c:pt idx="2">
                  <c:v>353</c:v>
                </c:pt>
                <c:pt idx="3">
                  <c:v>383</c:v>
                </c:pt>
                <c:pt idx="4">
                  <c:v>413</c:v>
                </c:pt>
                <c:pt idx="5">
                  <c:v>443</c:v>
                </c:pt>
                <c:pt idx="6">
                  <c:v>473</c:v>
                </c:pt>
                <c:pt idx="7">
                  <c:v>503</c:v>
                </c:pt>
                <c:pt idx="8">
                  <c:v>513</c:v>
                </c:pt>
                <c:pt idx="9">
                  <c:v>523</c:v>
                </c:pt>
                <c:pt idx="10">
                  <c:v>533</c:v>
                </c:pt>
                <c:pt idx="11">
                  <c:v>543</c:v>
                </c:pt>
                <c:pt idx="12">
                  <c:v>553</c:v>
                </c:pt>
                <c:pt idx="13">
                  <c:v>563</c:v>
                </c:pt>
                <c:pt idx="14">
                  <c:v>573</c:v>
                </c:pt>
                <c:pt idx="15">
                  <c:v>583</c:v>
                </c:pt>
                <c:pt idx="16">
                  <c:v>593</c:v>
                </c:pt>
                <c:pt idx="17">
                  <c:v>603</c:v>
                </c:pt>
                <c:pt idx="18">
                  <c:v>613</c:v>
                </c:pt>
                <c:pt idx="19">
                  <c:v>623</c:v>
                </c:pt>
                <c:pt idx="20">
                  <c:v>633</c:v>
                </c:pt>
                <c:pt idx="21">
                  <c:v>643</c:v>
                </c:pt>
                <c:pt idx="22">
                  <c:v>653</c:v>
                </c:pt>
                <c:pt idx="23">
                  <c:v>663</c:v>
                </c:pt>
                <c:pt idx="24">
                  <c:v>673</c:v>
                </c:pt>
              </c:numCache>
            </c:numRef>
          </c:xVal>
          <c:yVal>
            <c:numRef>
              <c:f>Ni!$G$3:$G$27</c:f>
              <c:numCache>
                <c:formatCode>General</c:formatCode>
                <c:ptCount val="25"/>
                <c:pt idx="0">
                  <c:v>0.49992538754880006</c:v>
                </c:pt>
                <c:pt idx="1">
                  <c:v>0.50525538754879995</c:v>
                </c:pt>
                <c:pt idx="2">
                  <c:v>0.50098538754879995</c:v>
                </c:pt>
                <c:pt idx="3">
                  <c:v>0.49149538754880001</c:v>
                </c:pt>
                <c:pt idx="4">
                  <c:v>0.47775538754880004</c:v>
                </c:pt>
                <c:pt idx="5">
                  <c:v>0.45086538754880001</c:v>
                </c:pt>
                <c:pt idx="6">
                  <c:v>0.40636538754880003</c:v>
                </c:pt>
                <c:pt idx="7">
                  <c:v>0.36342538754879999</c:v>
                </c:pt>
                <c:pt idx="8">
                  <c:v>0.34730538754880003</c:v>
                </c:pt>
                <c:pt idx="9">
                  <c:v>0.32966538754880004</c:v>
                </c:pt>
                <c:pt idx="10">
                  <c:v>0.31312538754880004</c:v>
                </c:pt>
                <c:pt idx="11">
                  <c:v>0.29886538754880004</c:v>
                </c:pt>
                <c:pt idx="12">
                  <c:v>0.28314538754880003</c:v>
                </c:pt>
                <c:pt idx="13">
                  <c:v>0.2662953875488</c:v>
                </c:pt>
                <c:pt idx="14">
                  <c:v>0.24615538754879998</c:v>
                </c:pt>
                <c:pt idx="15">
                  <c:v>0.2252753875488</c:v>
                </c:pt>
                <c:pt idx="16">
                  <c:v>0.2070453875488</c:v>
                </c:pt>
                <c:pt idx="17">
                  <c:v>0.1842253875488</c:v>
                </c:pt>
                <c:pt idx="18">
                  <c:v>0.15521538754879999</c:v>
                </c:pt>
                <c:pt idx="19">
                  <c:v>0.1115053875488</c:v>
                </c:pt>
                <c:pt idx="20">
                  <c:v>8.3853875488000013E-3</c:v>
                </c:pt>
                <c:pt idx="21">
                  <c:v>6.435387548800001E-3</c:v>
                </c:pt>
                <c:pt idx="22">
                  <c:v>6.1353875488000011E-3</c:v>
                </c:pt>
                <c:pt idx="23">
                  <c:v>6.2253875488000009E-3</c:v>
                </c:pt>
                <c:pt idx="24">
                  <c:v>7.2353875487999996E-3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D-6D4D-9E05-289C72588173}"/>
            </c:ext>
          </c:extLst>
        </c:ser>
        <c:ser>
          <c:idx val="1"/>
          <c:order val="1"/>
          <c:tx>
            <c:strRef>
              <c:f>Ni!$C$5</c:f>
              <c:strCache>
                <c:ptCount val="1"/>
                <c:pt idx="0">
                  <c:v>7473.33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Ni!$F$22:$F$23</c:f>
              <c:numCache>
                <c:formatCode>General</c:formatCode>
                <c:ptCount val="2"/>
                <c:pt idx="0">
                  <c:v>623</c:v>
                </c:pt>
                <c:pt idx="1">
                  <c:v>633</c:v>
                </c:pt>
              </c:numCache>
            </c:numRef>
          </c:xVal>
          <c:yVal>
            <c:numRef>
              <c:f>Ni!$G$22:$G$23</c:f>
              <c:numCache>
                <c:formatCode>General</c:formatCode>
                <c:ptCount val="2"/>
                <c:pt idx="0">
                  <c:v>0.1115053875488</c:v>
                </c:pt>
                <c:pt idx="1">
                  <c:v>8.3853875488000013E-3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7-4E61-905E-3BBFCD78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498352"/>
        <c:axId val="1822290400"/>
      </c:scatterChart>
      <c:valAx>
        <c:axId val="181949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温度</a:t>
                </a:r>
                <a:r>
                  <a:rPr lang="en-US" altLang="ja-JP" sz="1800"/>
                  <a:t>T [K]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2290400"/>
        <c:crosses val="autoZero"/>
        <c:crossBetween val="midCat"/>
      </c:valAx>
      <c:valAx>
        <c:axId val="182229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磁化</a:t>
                </a:r>
                <a:r>
                  <a:rPr lang="en-US" altLang="ja-JP" sz="1800"/>
                  <a:t>I [T]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949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ニッケルの</a:t>
            </a:r>
            <a:r>
              <a:rPr lang="en-US" altLang="ja-JP" sz="1800"/>
              <a:t>I/I0</a:t>
            </a:r>
            <a:r>
              <a:rPr lang="ja-JP" altLang="en-US" sz="1800"/>
              <a:t>ー</a:t>
            </a:r>
            <a:r>
              <a:rPr lang="en-US" altLang="ja-JP" sz="1800"/>
              <a:t>T/θ</a:t>
            </a:r>
            <a:r>
              <a:rPr lang="ja-JP" altLang="en-US" sz="1800"/>
              <a:t>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Ni!$H$3:$H$23</c:f>
              <c:numCache>
                <c:formatCode>General</c:formatCode>
                <c:ptCount val="21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</c:numCache>
            </c:numRef>
          </c:xVal>
          <c:yVal>
            <c:numRef>
              <c:f>Ni!$I$3:$I$23</c:f>
              <c:numCache>
                <c:formatCode>General</c:formatCode>
                <c:ptCount val="21"/>
                <c:pt idx="0">
                  <c:v>0.950000000092734</c:v>
                </c:pt>
                <c:pt idx="1">
                  <c:v>0.96012851151985146</c:v>
                </c:pt>
                <c:pt idx="2">
                  <c:v>0.95201430067673842</c:v>
                </c:pt>
                <c:pt idx="3">
                  <c:v>0.93398060959918749</c:v>
                </c:pt>
                <c:pt idx="4">
                  <c:v>0.90787071334991976</c:v>
                </c:pt>
                <c:pt idx="5">
                  <c:v>0.85677208815757533</c:v>
                </c:pt>
                <c:pt idx="6">
                  <c:v>0.7722094693007765</c:v>
                </c:pt>
                <c:pt idx="7">
                  <c:v>0.69061129281289002</c:v>
                </c:pt>
                <c:pt idx="8">
                  <c:v>0.65997872166746085</c:v>
                </c:pt>
                <c:pt idx="9">
                  <c:v>0.62645771949591189</c:v>
                </c:pt>
                <c:pt idx="10">
                  <c:v>0.59502702925116013</c:v>
                </c:pt>
                <c:pt idx="11">
                  <c:v>0.56792898554558813</c:v>
                </c:pt>
                <c:pt idx="12">
                  <c:v>0.53805652782808522</c:v>
                </c:pt>
                <c:pt idx="13">
                  <c:v>0.50603674967669054</c:v>
                </c:pt>
                <c:pt idx="14">
                  <c:v>0.46776503858060214</c:v>
                </c:pt>
                <c:pt idx="15">
                  <c:v>0.42808711764285023</c:v>
                </c:pt>
                <c:pt idx="16">
                  <c:v>0.39344494816510994</c:v>
                </c:pt>
                <c:pt idx="17">
                  <c:v>0.35008047710191553</c:v>
                </c:pt>
                <c:pt idx="18">
                  <c:v>0.29495325074156187</c:v>
                </c:pt>
                <c:pt idx="19">
                  <c:v>0.21189185590491741</c:v>
                </c:pt>
                <c:pt idx="20">
                  <c:v>1.5934614185521837E-2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2-874D-B07D-F6DF6FA21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47712"/>
        <c:axId val="459649360"/>
      </c:scatterChart>
      <c:valAx>
        <c:axId val="459647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温度</a:t>
                </a:r>
                <a:r>
                  <a:rPr lang="en-US" altLang="ja-JP" sz="1400"/>
                  <a:t>T/θ 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9649360"/>
        <c:crosses val="autoZero"/>
        <c:crossBetween val="midCat"/>
      </c:valAx>
      <c:valAx>
        <c:axId val="459649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600"/>
                  <a:t>磁化の強さ</a:t>
                </a:r>
                <a:r>
                  <a:rPr lang="en-US" altLang="ja-JP" sz="1600"/>
                  <a:t>I/I0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964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ジスプロシウムの磁化</a:t>
            </a:r>
            <a:r>
              <a:rPr lang="en-US" altLang="ja-JP"/>
              <a:t>I</a:t>
            </a:r>
            <a:r>
              <a:rPr lang="ja-JP" altLang="en-US"/>
              <a:t>と温度の関係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Dy!$C$4:$C$91</c:f>
              <c:numCache>
                <c:formatCode>General</c:formatCode>
                <c:ptCount val="88"/>
                <c:pt idx="0">
                  <c:v>79.8</c:v>
                </c:pt>
                <c:pt idx="1">
                  <c:v>82.2</c:v>
                </c:pt>
                <c:pt idx="2">
                  <c:v>84.6</c:v>
                </c:pt>
                <c:pt idx="3">
                  <c:v>87.1</c:v>
                </c:pt>
                <c:pt idx="4">
                  <c:v>89.5</c:v>
                </c:pt>
                <c:pt idx="5">
                  <c:v>91.9</c:v>
                </c:pt>
                <c:pt idx="6">
                  <c:v>94.3</c:v>
                </c:pt>
                <c:pt idx="7">
                  <c:v>96.8</c:v>
                </c:pt>
                <c:pt idx="8">
                  <c:v>99.2</c:v>
                </c:pt>
                <c:pt idx="9">
                  <c:v>101.7</c:v>
                </c:pt>
                <c:pt idx="10">
                  <c:v>104.1</c:v>
                </c:pt>
                <c:pt idx="11">
                  <c:v>106.5</c:v>
                </c:pt>
                <c:pt idx="12">
                  <c:v>109</c:v>
                </c:pt>
                <c:pt idx="13">
                  <c:v>111.4</c:v>
                </c:pt>
                <c:pt idx="14">
                  <c:v>113.9</c:v>
                </c:pt>
                <c:pt idx="15">
                  <c:v>116.3</c:v>
                </c:pt>
                <c:pt idx="16">
                  <c:v>118.8</c:v>
                </c:pt>
                <c:pt idx="17">
                  <c:v>121.3</c:v>
                </c:pt>
                <c:pt idx="18">
                  <c:v>123.7</c:v>
                </c:pt>
                <c:pt idx="19">
                  <c:v>126.2</c:v>
                </c:pt>
                <c:pt idx="20">
                  <c:v>128.69999999999999</c:v>
                </c:pt>
                <c:pt idx="21">
                  <c:v>131.1</c:v>
                </c:pt>
                <c:pt idx="22">
                  <c:v>133.6</c:v>
                </c:pt>
                <c:pt idx="23">
                  <c:v>136.1</c:v>
                </c:pt>
                <c:pt idx="24">
                  <c:v>138.6</c:v>
                </c:pt>
                <c:pt idx="25">
                  <c:v>141.1</c:v>
                </c:pt>
                <c:pt idx="26">
                  <c:v>143.5</c:v>
                </c:pt>
                <c:pt idx="27">
                  <c:v>146</c:v>
                </c:pt>
                <c:pt idx="28">
                  <c:v>148.5</c:v>
                </c:pt>
                <c:pt idx="29">
                  <c:v>151</c:v>
                </c:pt>
                <c:pt idx="30">
                  <c:v>153.5</c:v>
                </c:pt>
                <c:pt idx="31">
                  <c:v>156</c:v>
                </c:pt>
                <c:pt idx="32">
                  <c:v>158.5</c:v>
                </c:pt>
                <c:pt idx="33">
                  <c:v>161</c:v>
                </c:pt>
                <c:pt idx="34">
                  <c:v>163.5</c:v>
                </c:pt>
                <c:pt idx="35">
                  <c:v>166</c:v>
                </c:pt>
                <c:pt idx="36">
                  <c:v>168.6</c:v>
                </c:pt>
                <c:pt idx="37">
                  <c:v>171.1</c:v>
                </c:pt>
                <c:pt idx="38">
                  <c:v>173.6</c:v>
                </c:pt>
                <c:pt idx="39">
                  <c:v>176.1</c:v>
                </c:pt>
                <c:pt idx="40">
                  <c:v>178.6</c:v>
                </c:pt>
                <c:pt idx="41">
                  <c:v>181.2</c:v>
                </c:pt>
                <c:pt idx="42">
                  <c:v>183.7</c:v>
                </c:pt>
                <c:pt idx="43">
                  <c:v>186.2</c:v>
                </c:pt>
                <c:pt idx="44">
                  <c:v>188.8</c:v>
                </c:pt>
                <c:pt idx="45">
                  <c:v>191.3</c:v>
                </c:pt>
                <c:pt idx="46">
                  <c:v>193.9</c:v>
                </c:pt>
                <c:pt idx="47">
                  <c:v>196.4</c:v>
                </c:pt>
                <c:pt idx="48">
                  <c:v>199</c:v>
                </c:pt>
                <c:pt idx="49">
                  <c:v>201.5</c:v>
                </c:pt>
                <c:pt idx="50">
                  <c:v>204.1</c:v>
                </c:pt>
                <c:pt idx="51">
                  <c:v>206.6</c:v>
                </c:pt>
                <c:pt idx="52">
                  <c:v>209.2</c:v>
                </c:pt>
                <c:pt idx="53">
                  <c:v>211.7</c:v>
                </c:pt>
                <c:pt idx="54">
                  <c:v>214.3</c:v>
                </c:pt>
                <c:pt idx="55">
                  <c:v>216.9</c:v>
                </c:pt>
                <c:pt idx="56">
                  <c:v>219.5</c:v>
                </c:pt>
                <c:pt idx="57">
                  <c:v>222</c:v>
                </c:pt>
                <c:pt idx="58">
                  <c:v>224.6</c:v>
                </c:pt>
                <c:pt idx="59">
                  <c:v>227.2</c:v>
                </c:pt>
                <c:pt idx="60">
                  <c:v>229.8</c:v>
                </c:pt>
                <c:pt idx="61">
                  <c:v>232.3</c:v>
                </c:pt>
                <c:pt idx="62">
                  <c:v>234.6</c:v>
                </c:pt>
                <c:pt idx="63">
                  <c:v>237.5</c:v>
                </c:pt>
                <c:pt idx="64">
                  <c:v>240.1</c:v>
                </c:pt>
                <c:pt idx="65">
                  <c:v>242.7</c:v>
                </c:pt>
                <c:pt idx="66">
                  <c:v>245.3</c:v>
                </c:pt>
                <c:pt idx="67">
                  <c:v>247.9</c:v>
                </c:pt>
                <c:pt idx="68">
                  <c:v>250.5</c:v>
                </c:pt>
                <c:pt idx="69">
                  <c:v>253.1</c:v>
                </c:pt>
                <c:pt idx="70">
                  <c:v>255.7</c:v>
                </c:pt>
                <c:pt idx="71">
                  <c:v>258.39999999999998</c:v>
                </c:pt>
                <c:pt idx="72">
                  <c:v>261</c:v>
                </c:pt>
                <c:pt idx="73">
                  <c:v>263.60000000000002</c:v>
                </c:pt>
                <c:pt idx="74">
                  <c:v>266.2</c:v>
                </c:pt>
                <c:pt idx="75">
                  <c:v>268.2</c:v>
                </c:pt>
                <c:pt idx="76">
                  <c:v>271.5</c:v>
                </c:pt>
                <c:pt idx="77">
                  <c:v>274.10000000000002</c:v>
                </c:pt>
                <c:pt idx="78">
                  <c:v>276.7</c:v>
                </c:pt>
                <c:pt idx="79">
                  <c:v>279.39999999999998</c:v>
                </c:pt>
                <c:pt idx="80">
                  <c:v>282</c:v>
                </c:pt>
                <c:pt idx="81">
                  <c:v>284.7</c:v>
                </c:pt>
                <c:pt idx="82">
                  <c:v>287.3</c:v>
                </c:pt>
                <c:pt idx="83">
                  <c:v>289.89999999999998</c:v>
                </c:pt>
                <c:pt idx="84">
                  <c:v>292.60000000000002</c:v>
                </c:pt>
                <c:pt idx="85">
                  <c:v>295.3</c:v>
                </c:pt>
                <c:pt idx="86">
                  <c:v>297.89999999999998</c:v>
                </c:pt>
                <c:pt idx="87">
                  <c:v>300.60000000000002</c:v>
                </c:pt>
              </c:numCache>
            </c:numRef>
          </c:xVal>
          <c:yVal>
            <c:numRef>
              <c:f>Dy!$F$4:$F$91</c:f>
              <c:numCache>
                <c:formatCode>General</c:formatCode>
                <c:ptCount val="88"/>
                <c:pt idx="0">
                  <c:v>0.12689</c:v>
                </c:pt>
                <c:pt idx="1">
                  <c:v>0.11614000000000001</c:v>
                </c:pt>
                <c:pt idx="2">
                  <c:v>8.9900000000000008E-2</c:v>
                </c:pt>
                <c:pt idx="3">
                  <c:v>4.6449999999999998E-2</c:v>
                </c:pt>
                <c:pt idx="4">
                  <c:v>2.1670000000000002E-2</c:v>
                </c:pt>
                <c:pt idx="5">
                  <c:v>1.468E-2</c:v>
                </c:pt>
                <c:pt idx="6">
                  <c:v>1.1840000000000002E-2</c:v>
                </c:pt>
                <c:pt idx="7">
                  <c:v>9.8800000000000016E-3</c:v>
                </c:pt>
                <c:pt idx="8">
                  <c:v>8.6700000000000024E-3</c:v>
                </c:pt>
                <c:pt idx="9">
                  <c:v>7.729999999999999E-3</c:v>
                </c:pt>
                <c:pt idx="10">
                  <c:v>6.9900000000000014E-3</c:v>
                </c:pt>
                <c:pt idx="11">
                  <c:v>6.3800000000000003E-3</c:v>
                </c:pt>
                <c:pt idx="12">
                  <c:v>5.9300000000000012E-3</c:v>
                </c:pt>
                <c:pt idx="13">
                  <c:v>5.5200000000000006E-3</c:v>
                </c:pt>
                <c:pt idx="14">
                  <c:v>5.1500000000000001E-3</c:v>
                </c:pt>
                <c:pt idx="15">
                  <c:v>4.8900000000000002E-3</c:v>
                </c:pt>
                <c:pt idx="16">
                  <c:v>4.5900000000000003E-3</c:v>
                </c:pt>
                <c:pt idx="17">
                  <c:v>4.4500000000000008E-3</c:v>
                </c:pt>
                <c:pt idx="18">
                  <c:v>4.2000000000000006E-3</c:v>
                </c:pt>
                <c:pt idx="19">
                  <c:v>4.1100000000000008E-3</c:v>
                </c:pt>
                <c:pt idx="20">
                  <c:v>3.9500000000000004E-3</c:v>
                </c:pt>
                <c:pt idx="21">
                  <c:v>3.9199999999999999E-3</c:v>
                </c:pt>
                <c:pt idx="22">
                  <c:v>3.7800000000000004E-3</c:v>
                </c:pt>
                <c:pt idx="23">
                  <c:v>3.6300000000000013E-3</c:v>
                </c:pt>
                <c:pt idx="24">
                  <c:v>3.62E-3</c:v>
                </c:pt>
                <c:pt idx="25">
                  <c:v>3.5000000000000014E-3</c:v>
                </c:pt>
                <c:pt idx="26">
                  <c:v>3.4000000000000002E-3</c:v>
                </c:pt>
                <c:pt idx="27">
                  <c:v>3.4000000000000002E-3</c:v>
                </c:pt>
                <c:pt idx="28">
                  <c:v>3.3000000000000008E-3</c:v>
                </c:pt>
                <c:pt idx="29">
                  <c:v>3.2799999999999999E-3</c:v>
                </c:pt>
                <c:pt idx="30">
                  <c:v>3.2900000000000013E-3</c:v>
                </c:pt>
                <c:pt idx="31">
                  <c:v>3.3000000000000008E-3</c:v>
                </c:pt>
                <c:pt idx="32">
                  <c:v>3.3000000000000008E-3</c:v>
                </c:pt>
                <c:pt idx="33">
                  <c:v>3.3000000000000008E-3</c:v>
                </c:pt>
                <c:pt idx="34">
                  <c:v>3.3000000000000008E-3</c:v>
                </c:pt>
                <c:pt idx="35">
                  <c:v>3.3800000000000011E-3</c:v>
                </c:pt>
                <c:pt idx="36">
                  <c:v>3.4300000000000008E-3</c:v>
                </c:pt>
                <c:pt idx="37">
                  <c:v>3.5700000000000003E-3</c:v>
                </c:pt>
                <c:pt idx="38">
                  <c:v>3.6300000000000013E-3</c:v>
                </c:pt>
                <c:pt idx="39">
                  <c:v>3.9500000000000004E-3</c:v>
                </c:pt>
                <c:pt idx="40">
                  <c:v>4.3E-3</c:v>
                </c:pt>
                <c:pt idx="41">
                  <c:v>4.9700000000000005E-3</c:v>
                </c:pt>
                <c:pt idx="42">
                  <c:v>4.7600000000000003E-3</c:v>
                </c:pt>
                <c:pt idx="43">
                  <c:v>4.2700000000000012E-3</c:v>
                </c:pt>
                <c:pt idx="44">
                  <c:v>3.850000000000001E-3</c:v>
                </c:pt>
                <c:pt idx="45">
                  <c:v>3.5700000000000003E-3</c:v>
                </c:pt>
                <c:pt idx="46">
                  <c:v>3.3100000000000004E-3</c:v>
                </c:pt>
                <c:pt idx="47">
                  <c:v>3.0800000000000011E-3</c:v>
                </c:pt>
                <c:pt idx="48">
                  <c:v>2.8400000000000005E-3</c:v>
                </c:pt>
                <c:pt idx="49">
                  <c:v>2.6800000000000001E-3</c:v>
                </c:pt>
                <c:pt idx="50">
                  <c:v>2.5200000000000014E-3</c:v>
                </c:pt>
                <c:pt idx="51">
                  <c:v>2.4299999999999999E-3</c:v>
                </c:pt>
                <c:pt idx="52">
                  <c:v>2.2300000000000011E-3</c:v>
                </c:pt>
                <c:pt idx="53">
                  <c:v>2.1299999999999999E-3</c:v>
                </c:pt>
                <c:pt idx="54">
                  <c:v>2.0700000000000007E-3</c:v>
                </c:pt>
                <c:pt idx="55">
                  <c:v>1.9800000000000009E-3</c:v>
                </c:pt>
                <c:pt idx="56">
                  <c:v>1.9100000000000002E-3</c:v>
                </c:pt>
                <c:pt idx="57">
                  <c:v>1.8400000000000014E-3</c:v>
                </c:pt>
                <c:pt idx="58">
                  <c:v>1.7400000000000002E-3</c:v>
                </c:pt>
                <c:pt idx="59">
                  <c:v>1.6900000000000005E-3</c:v>
                </c:pt>
                <c:pt idx="60">
                  <c:v>1.66E-3</c:v>
                </c:pt>
                <c:pt idx="61">
                  <c:v>1.5900000000000011E-3</c:v>
                </c:pt>
                <c:pt idx="62">
                  <c:v>1.5600000000000006E-3</c:v>
                </c:pt>
                <c:pt idx="63">
                  <c:v>1.5000000000000013E-3</c:v>
                </c:pt>
                <c:pt idx="64">
                  <c:v>1.5100000000000009E-3</c:v>
                </c:pt>
                <c:pt idx="65">
                  <c:v>1.4400000000000003E-3</c:v>
                </c:pt>
                <c:pt idx="66">
                  <c:v>1.4300000000000007E-3</c:v>
                </c:pt>
                <c:pt idx="67">
                  <c:v>1.380000000000001E-3</c:v>
                </c:pt>
                <c:pt idx="68">
                  <c:v>1.3700000000000014E-3</c:v>
                </c:pt>
                <c:pt idx="69">
                  <c:v>1.3000000000000008E-3</c:v>
                </c:pt>
                <c:pt idx="70">
                  <c:v>1.2300000000000002E-3</c:v>
                </c:pt>
                <c:pt idx="71">
                  <c:v>1.2600000000000007E-3</c:v>
                </c:pt>
                <c:pt idx="72">
                  <c:v>1.2200000000000006E-3</c:v>
                </c:pt>
                <c:pt idx="73">
                  <c:v>1.2000000000000014E-3</c:v>
                </c:pt>
                <c:pt idx="74">
                  <c:v>1.1600000000000013E-3</c:v>
                </c:pt>
                <c:pt idx="75">
                  <c:v>1.1400000000000004E-3</c:v>
                </c:pt>
                <c:pt idx="76">
                  <c:v>1.15E-3</c:v>
                </c:pt>
                <c:pt idx="77">
                  <c:v>1.0900000000000007E-3</c:v>
                </c:pt>
                <c:pt idx="78">
                  <c:v>1.0700000000000015E-3</c:v>
                </c:pt>
                <c:pt idx="79">
                  <c:v>1.0200000000000001E-3</c:v>
                </c:pt>
                <c:pt idx="80">
                  <c:v>1.040000000000001E-3</c:v>
                </c:pt>
                <c:pt idx="81">
                  <c:v>1.0200000000000001E-3</c:v>
                </c:pt>
                <c:pt idx="82">
                  <c:v>9.7000000000000038E-4</c:v>
                </c:pt>
                <c:pt idx="83">
                  <c:v>9.3999999999999986E-4</c:v>
                </c:pt>
                <c:pt idx="84">
                  <c:v>9.7999999999999997E-4</c:v>
                </c:pt>
                <c:pt idx="85">
                  <c:v>9.6000000000000078E-4</c:v>
                </c:pt>
                <c:pt idx="86">
                  <c:v>9.1000000000000109E-4</c:v>
                </c:pt>
                <c:pt idx="87">
                  <c:v>9.3000000000000027E-4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1-564D-9987-D6412C897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952480"/>
        <c:axId val="996954128"/>
      </c:scatterChart>
      <c:valAx>
        <c:axId val="99695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温度</a:t>
                </a:r>
                <a:r>
                  <a:rPr lang="en-US" altLang="ja-JP" sz="1800"/>
                  <a:t>T [K]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954128"/>
        <c:crosses val="autoZero"/>
        <c:crossBetween val="midCat"/>
      </c:valAx>
      <c:valAx>
        <c:axId val="99695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磁化</a:t>
                </a:r>
                <a:r>
                  <a:rPr lang="en-US" altLang="ja-JP" sz="1800"/>
                  <a:t>I [T]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95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ジスプロシウムの磁化率の逆数</a:t>
            </a:r>
            <a:r>
              <a:rPr lang="en-US" altLang="ja-JP" sz="1800"/>
              <a:t>1/χ</a:t>
            </a:r>
            <a:r>
              <a:rPr lang="ja-JP" altLang="en-US" sz="1800"/>
              <a:t>と温度</a:t>
            </a:r>
            <a:r>
              <a:rPr lang="en-US" altLang="ja-JP" sz="1800"/>
              <a:t>T</a:t>
            </a:r>
            <a:r>
              <a:rPr lang="ja-JP" altLang="en-US" sz="1800"/>
              <a:t>の関係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Dyの磁化率の逆数と温度の関係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Dy!$C$4:$C$91</c:f>
              <c:numCache>
                <c:formatCode>General</c:formatCode>
                <c:ptCount val="88"/>
                <c:pt idx="0">
                  <c:v>79.8</c:v>
                </c:pt>
                <c:pt idx="1">
                  <c:v>82.2</c:v>
                </c:pt>
                <c:pt idx="2">
                  <c:v>84.6</c:v>
                </c:pt>
                <c:pt idx="3">
                  <c:v>87.1</c:v>
                </c:pt>
                <c:pt idx="4">
                  <c:v>89.5</c:v>
                </c:pt>
                <c:pt idx="5">
                  <c:v>91.9</c:v>
                </c:pt>
                <c:pt idx="6">
                  <c:v>94.3</c:v>
                </c:pt>
                <c:pt idx="7">
                  <c:v>96.8</c:v>
                </c:pt>
                <c:pt idx="8">
                  <c:v>99.2</c:v>
                </c:pt>
                <c:pt idx="9">
                  <c:v>101.7</c:v>
                </c:pt>
                <c:pt idx="10">
                  <c:v>104.1</c:v>
                </c:pt>
                <c:pt idx="11">
                  <c:v>106.5</c:v>
                </c:pt>
                <c:pt idx="12">
                  <c:v>109</c:v>
                </c:pt>
                <c:pt idx="13">
                  <c:v>111.4</c:v>
                </c:pt>
                <c:pt idx="14">
                  <c:v>113.9</c:v>
                </c:pt>
                <c:pt idx="15">
                  <c:v>116.3</c:v>
                </c:pt>
                <c:pt idx="16">
                  <c:v>118.8</c:v>
                </c:pt>
                <c:pt idx="17">
                  <c:v>121.3</c:v>
                </c:pt>
                <c:pt idx="18">
                  <c:v>123.7</c:v>
                </c:pt>
                <c:pt idx="19">
                  <c:v>126.2</c:v>
                </c:pt>
                <c:pt idx="20">
                  <c:v>128.69999999999999</c:v>
                </c:pt>
                <c:pt idx="21">
                  <c:v>131.1</c:v>
                </c:pt>
                <c:pt idx="22">
                  <c:v>133.6</c:v>
                </c:pt>
                <c:pt idx="23">
                  <c:v>136.1</c:v>
                </c:pt>
                <c:pt idx="24">
                  <c:v>138.6</c:v>
                </c:pt>
                <c:pt idx="25">
                  <c:v>141.1</c:v>
                </c:pt>
                <c:pt idx="26">
                  <c:v>143.5</c:v>
                </c:pt>
                <c:pt idx="27">
                  <c:v>146</c:v>
                </c:pt>
                <c:pt idx="28">
                  <c:v>148.5</c:v>
                </c:pt>
                <c:pt idx="29">
                  <c:v>151</c:v>
                </c:pt>
                <c:pt idx="30">
                  <c:v>153.5</c:v>
                </c:pt>
                <c:pt idx="31">
                  <c:v>156</c:v>
                </c:pt>
                <c:pt idx="32">
                  <c:v>158.5</c:v>
                </c:pt>
                <c:pt idx="33">
                  <c:v>161</c:v>
                </c:pt>
                <c:pt idx="34">
                  <c:v>163.5</c:v>
                </c:pt>
                <c:pt idx="35">
                  <c:v>166</c:v>
                </c:pt>
                <c:pt idx="36">
                  <c:v>168.6</c:v>
                </c:pt>
                <c:pt idx="37">
                  <c:v>171.1</c:v>
                </c:pt>
                <c:pt idx="38">
                  <c:v>173.6</c:v>
                </c:pt>
                <c:pt idx="39">
                  <c:v>176.1</c:v>
                </c:pt>
                <c:pt idx="40">
                  <c:v>178.6</c:v>
                </c:pt>
                <c:pt idx="41">
                  <c:v>181.2</c:v>
                </c:pt>
                <c:pt idx="42">
                  <c:v>183.7</c:v>
                </c:pt>
                <c:pt idx="43">
                  <c:v>186.2</c:v>
                </c:pt>
                <c:pt idx="44">
                  <c:v>188.8</c:v>
                </c:pt>
                <c:pt idx="45">
                  <c:v>191.3</c:v>
                </c:pt>
                <c:pt idx="46">
                  <c:v>193.9</c:v>
                </c:pt>
                <c:pt idx="47">
                  <c:v>196.4</c:v>
                </c:pt>
                <c:pt idx="48">
                  <c:v>199</c:v>
                </c:pt>
                <c:pt idx="49">
                  <c:v>201.5</c:v>
                </c:pt>
                <c:pt idx="50">
                  <c:v>204.1</c:v>
                </c:pt>
                <c:pt idx="51">
                  <c:v>206.6</c:v>
                </c:pt>
                <c:pt idx="52">
                  <c:v>209.2</c:v>
                </c:pt>
                <c:pt idx="53">
                  <c:v>211.7</c:v>
                </c:pt>
                <c:pt idx="54">
                  <c:v>214.3</c:v>
                </c:pt>
                <c:pt idx="55">
                  <c:v>216.9</c:v>
                </c:pt>
                <c:pt idx="56">
                  <c:v>219.5</c:v>
                </c:pt>
                <c:pt idx="57">
                  <c:v>222</c:v>
                </c:pt>
                <c:pt idx="58">
                  <c:v>224.6</c:v>
                </c:pt>
                <c:pt idx="59">
                  <c:v>227.2</c:v>
                </c:pt>
                <c:pt idx="60">
                  <c:v>229.8</c:v>
                </c:pt>
                <c:pt idx="61">
                  <c:v>232.3</c:v>
                </c:pt>
                <c:pt idx="62">
                  <c:v>234.6</c:v>
                </c:pt>
                <c:pt idx="63">
                  <c:v>237.5</c:v>
                </c:pt>
                <c:pt idx="64">
                  <c:v>240.1</c:v>
                </c:pt>
                <c:pt idx="65">
                  <c:v>242.7</c:v>
                </c:pt>
                <c:pt idx="66">
                  <c:v>245.3</c:v>
                </c:pt>
                <c:pt idx="67">
                  <c:v>247.9</c:v>
                </c:pt>
                <c:pt idx="68">
                  <c:v>250.5</c:v>
                </c:pt>
                <c:pt idx="69">
                  <c:v>253.1</c:v>
                </c:pt>
                <c:pt idx="70">
                  <c:v>255.7</c:v>
                </c:pt>
                <c:pt idx="71">
                  <c:v>258.39999999999998</c:v>
                </c:pt>
                <c:pt idx="72">
                  <c:v>261</c:v>
                </c:pt>
                <c:pt idx="73">
                  <c:v>263.60000000000002</c:v>
                </c:pt>
                <c:pt idx="74">
                  <c:v>266.2</c:v>
                </c:pt>
                <c:pt idx="75">
                  <c:v>268.2</c:v>
                </c:pt>
                <c:pt idx="76">
                  <c:v>271.5</c:v>
                </c:pt>
                <c:pt idx="77">
                  <c:v>274.10000000000002</c:v>
                </c:pt>
                <c:pt idx="78">
                  <c:v>276.7</c:v>
                </c:pt>
                <c:pt idx="79">
                  <c:v>279.39999999999998</c:v>
                </c:pt>
                <c:pt idx="80">
                  <c:v>282</c:v>
                </c:pt>
                <c:pt idx="81">
                  <c:v>284.7</c:v>
                </c:pt>
                <c:pt idx="82">
                  <c:v>287.3</c:v>
                </c:pt>
                <c:pt idx="83">
                  <c:v>289.89999999999998</c:v>
                </c:pt>
                <c:pt idx="84">
                  <c:v>292.60000000000002</c:v>
                </c:pt>
                <c:pt idx="85">
                  <c:v>295.3</c:v>
                </c:pt>
                <c:pt idx="86">
                  <c:v>297.89999999999998</c:v>
                </c:pt>
                <c:pt idx="87">
                  <c:v>300.60000000000002</c:v>
                </c:pt>
              </c:numCache>
            </c:numRef>
          </c:xVal>
          <c:yVal>
            <c:numRef>
              <c:f>Dy!$H$4:$H$91</c:f>
              <c:numCache>
                <c:formatCode>General</c:formatCode>
                <c:ptCount val="88"/>
                <c:pt idx="0">
                  <c:v>70018.086531641573</c:v>
                </c:pt>
                <c:pt idx="1">
                  <c:v>76499.009815739613</c:v>
                </c:pt>
                <c:pt idx="2">
                  <c:v>98827.530589543923</c:v>
                </c:pt>
                <c:pt idx="3">
                  <c:v>191272.22820236813</c:v>
                </c:pt>
                <c:pt idx="4">
                  <c:v>409995.15459160117</c:v>
                </c:pt>
                <c:pt idx="5">
                  <c:v>605217.6430517711</c:v>
                </c:pt>
                <c:pt idx="6">
                  <c:v>750388.0912162161</c:v>
                </c:pt>
                <c:pt idx="7">
                  <c:v>899250.50607287418</c:v>
                </c:pt>
                <c:pt idx="8">
                  <c:v>1024751.4417531716</c:v>
                </c:pt>
                <c:pt idx="9">
                  <c:v>1149365.4592496767</c:v>
                </c:pt>
                <c:pt idx="10">
                  <c:v>1271043.6337625175</c:v>
                </c:pt>
                <c:pt idx="11">
                  <c:v>1392569.7492163009</c:v>
                </c:pt>
                <c:pt idx="12">
                  <c:v>1498245.3625632375</c:v>
                </c:pt>
                <c:pt idx="13">
                  <c:v>1609528.0797101445</c:v>
                </c:pt>
                <c:pt idx="14">
                  <c:v>1725164.0776699029</c:v>
                </c:pt>
                <c:pt idx="15">
                  <c:v>1816890.5930470347</c:v>
                </c:pt>
                <c:pt idx="16">
                  <c:v>1935641.6122004353</c:v>
                </c:pt>
                <c:pt idx="17">
                  <c:v>1996538.2022471905</c:v>
                </c:pt>
                <c:pt idx="18">
                  <c:v>2115379.7619047617</c:v>
                </c:pt>
                <c:pt idx="19">
                  <c:v>2161701.946472019</c:v>
                </c:pt>
                <c:pt idx="20">
                  <c:v>2249264.5569620249</c:v>
                </c:pt>
                <c:pt idx="21">
                  <c:v>2266478.3163265302</c:v>
                </c:pt>
                <c:pt idx="22">
                  <c:v>2350421.9576719571</c:v>
                </c:pt>
                <c:pt idx="23">
                  <c:v>2447546.8319559218</c:v>
                </c:pt>
                <c:pt idx="24">
                  <c:v>2454308.0110497237</c:v>
                </c:pt>
                <c:pt idx="25">
                  <c:v>2538455.7142857132</c:v>
                </c:pt>
                <c:pt idx="26">
                  <c:v>2613116.1764705875</c:v>
                </c:pt>
                <c:pt idx="27">
                  <c:v>2613116.1764705875</c:v>
                </c:pt>
                <c:pt idx="28">
                  <c:v>2692301.5151515142</c:v>
                </c:pt>
                <c:pt idx="29">
                  <c:v>2708717.9878048776</c:v>
                </c:pt>
                <c:pt idx="30">
                  <c:v>2700484.8024316099</c:v>
                </c:pt>
                <c:pt idx="31">
                  <c:v>2692301.5151515142</c:v>
                </c:pt>
                <c:pt idx="32">
                  <c:v>2692301.5151515142</c:v>
                </c:pt>
                <c:pt idx="33">
                  <c:v>2692301.5151515142</c:v>
                </c:pt>
                <c:pt idx="34">
                  <c:v>2692301.5151515142</c:v>
                </c:pt>
                <c:pt idx="35">
                  <c:v>2628578.4023668626</c:v>
                </c:pt>
                <c:pt idx="36">
                  <c:v>2590260.9329446056</c:v>
                </c:pt>
                <c:pt idx="37">
                  <c:v>2488682.0728291315</c:v>
                </c:pt>
                <c:pt idx="38">
                  <c:v>2447546.8319559218</c:v>
                </c:pt>
                <c:pt idx="39">
                  <c:v>2249264.5569620249</c:v>
                </c:pt>
                <c:pt idx="40">
                  <c:v>2066184.8837209302</c:v>
                </c:pt>
                <c:pt idx="41">
                  <c:v>1787644.8692152915</c:v>
                </c:pt>
                <c:pt idx="42">
                  <c:v>1866511.5546218487</c:v>
                </c:pt>
                <c:pt idx="43">
                  <c:v>2080701.405152224</c:v>
                </c:pt>
                <c:pt idx="44">
                  <c:v>2307687.012987012</c:v>
                </c:pt>
                <c:pt idx="45">
                  <c:v>2488682.0728291315</c:v>
                </c:pt>
                <c:pt idx="46">
                  <c:v>2684167.6737160115</c:v>
                </c:pt>
                <c:pt idx="47">
                  <c:v>2884608.7662337651</c:v>
                </c:pt>
                <c:pt idx="48">
                  <c:v>3128378.5211267597</c:v>
                </c:pt>
                <c:pt idx="49">
                  <c:v>3315147.3880597013</c:v>
                </c:pt>
                <c:pt idx="50">
                  <c:v>3525632.9365079342</c:v>
                </c:pt>
                <c:pt idx="51">
                  <c:v>3656211.9341563787</c:v>
                </c:pt>
                <c:pt idx="52">
                  <c:v>3984123.3183856485</c:v>
                </c:pt>
                <c:pt idx="53">
                  <c:v>4171171.3615023475</c:v>
                </c:pt>
                <c:pt idx="54">
                  <c:v>4292074.8792270515</c:v>
                </c:pt>
                <c:pt idx="55">
                  <c:v>4487169.1919191899</c:v>
                </c:pt>
                <c:pt idx="56">
                  <c:v>4651620.4188481672</c:v>
                </c:pt>
                <c:pt idx="57">
                  <c:v>4828584.2391304309</c:v>
                </c:pt>
                <c:pt idx="58">
                  <c:v>5106089.0804597689</c:v>
                </c:pt>
                <c:pt idx="59">
                  <c:v>5257156.8047337253</c:v>
                </c:pt>
                <c:pt idx="60">
                  <c:v>5352165.6626506019</c:v>
                </c:pt>
                <c:pt idx="61">
                  <c:v>5587795.597484272</c:v>
                </c:pt>
                <c:pt idx="62">
                  <c:v>5695253.2051282022</c:v>
                </c:pt>
                <c:pt idx="63">
                  <c:v>5923063.3333333274</c:v>
                </c:pt>
                <c:pt idx="64">
                  <c:v>5883837.7483443674</c:v>
                </c:pt>
                <c:pt idx="65">
                  <c:v>6169857.6388888862</c:v>
                </c:pt>
                <c:pt idx="66">
                  <c:v>6213003.4965034928</c:v>
                </c:pt>
                <c:pt idx="67">
                  <c:v>6438112.3188405745</c:v>
                </c:pt>
                <c:pt idx="68">
                  <c:v>6485105.8394160513</c:v>
                </c:pt>
                <c:pt idx="69">
                  <c:v>6834303.8461538404</c:v>
                </c:pt>
                <c:pt idx="70">
                  <c:v>7223247.9674796732</c:v>
                </c:pt>
                <c:pt idx="71">
                  <c:v>7051265.8730158685</c:v>
                </c:pt>
                <c:pt idx="72">
                  <c:v>7282454.9180327822</c:v>
                </c:pt>
                <c:pt idx="73">
                  <c:v>7403829.1666666567</c:v>
                </c:pt>
                <c:pt idx="74">
                  <c:v>7659133.6206896454</c:v>
                </c:pt>
                <c:pt idx="75">
                  <c:v>7793504.3859649096</c:v>
                </c:pt>
                <c:pt idx="76">
                  <c:v>7725734.7826086953</c:v>
                </c:pt>
                <c:pt idx="77">
                  <c:v>8151004.5871559568</c:v>
                </c:pt>
                <c:pt idx="78">
                  <c:v>8303359.8130840994</c:v>
                </c:pt>
                <c:pt idx="79">
                  <c:v>8710387.2549019605</c:v>
                </c:pt>
                <c:pt idx="80">
                  <c:v>8542879.8076922987</c:v>
                </c:pt>
                <c:pt idx="81">
                  <c:v>8710387.2549019605</c:v>
                </c:pt>
                <c:pt idx="82">
                  <c:v>9159376.2886597887</c:v>
                </c:pt>
                <c:pt idx="83">
                  <c:v>9451696.8085106388</c:v>
                </c:pt>
                <c:pt idx="84">
                  <c:v>9065913.2653061207</c:v>
                </c:pt>
                <c:pt idx="85">
                  <c:v>9254786.4583333246</c:v>
                </c:pt>
                <c:pt idx="86">
                  <c:v>9763291.2087911963</c:v>
                </c:pt>
                <c:pt idx="87">
                  <c:v>9553327.9569892436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A-41AB-BC61-46990E8A27E4}"/>
            </c:ext>
          </c:extLst>
        </c:ser>
        <c:ser>
          <c:idx val="1"/>
          <c:order val="1"/>
          <c:tx>
            <c:v>dy常磁性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Dy!$C$69:$C$91</c:f>
              <c:numCache>
                <c:formatCode>General</c:formatCode>
                <c:ptCount val="23"/>
                <c:pt idx="0">
                  <c:v>242.7</c:v>
                </c:pt>
                <c:pt idx="1">
                  <c:v>245.3</c:v>
                </c:pt>
                <c:pt idx="2">
                  <c:v>247.9</c:v>
                </c:pt>
                <c:pt idx="3">
                  <c:v>250.5</c:v>
                </c:pt>
                <c:pt idx="4">
                  <c:v>253.1</c:v>
                </c:pt>
                <c:pt idx="5">
                  <c:v>255.7</c:v>
                </c:pt>
                <c:pt idx="6">
                  <c:v>258.39999999999998</c:v>
                </c:pt>
                <c:pt idx="7">
                  <c:v>261</c:v>
                </c:pt>
                <c:pt idx="8">
                  <c:v>263.60000000000002</c:v>
                </c:pt>
                <c:pt idx="9">
                  <c:v>266.2</c:v>
                </c:pt>
                <c:pt idx="10">
                  <c:v>268.2</c:v>
                </c:pt>
                <c:pt idx="11">
                  <c:v>271.5</c:v>
                </c:pt>
                <c:pt idx="12">
                  <c:v>274.10000000000002</c:v>
                </c:pt>
                <c:pt idx="13">
                  <c:v>276.7</c:v>
                </c:pt>
                <c:pt idx="14">
                  <c:v>279.39999999999998</c:v>
                </c:pt>
                <c:pt idx="15">
                  <c:v>282</c:v>
                </c:pt>
                <c:pt idx="16">
                  <c:v>284.7</c:v>
                </c:pt>
                <c:pt idx="17">
                  <c:v>287.3</c:v>
                </c:pt>
                <c:pt idx="18">
                  <c:v>289.89999999999998</c:v>
                </c:pt>
                <c:pt idx="19">
                  <c:v>292.60000000000002</c:v>
                </c:pt>
                <c:pt idx="20">
                  <c:v>295.3</c:v>
                </c:pt>
                <c:pt idx="21">
                  <c:v>297.89999999999998</c:v>
                </c:pt>
                <c:pt idx="22">
                  <c:v>300.60000000000002</c:v>
                </c:pt>
              </c:numCache>
            </c:numRef>
          </c:xVal>
          <c:yVal>
            <c:numRef>
              <c:f>Dy!$H$69:$H$91</c:f>
              <c:numCache>
                <c:formatCode>General</c:formatCode>
                <c:ptCount val="23"/>
                <c:pt idx="0">
                  <c:v>6169857.6388888862</c:v>
                </c:pt>
                <c:pt idx="1">
                  <c:v>6213003.4965034928</c:v>
                </c:pt>
                <c:pt idx="2">
                  <c:v>6438112.3188405745</c:v>
                </c:pt>
                <c:pt idx="3">
                  <c:v>6485105.8394160513</c:v>
                </c:pt>
                <c:pt idx="4">
                  <c:v>6834303.8461538404</c:v>
                </c:pt>
                <c:pt idx="5">
                  <c:v>7223247.9674796732</c:v>
                </c:pt>
                <c:pt idx="6">
                  <c:v>7051265.8730158685</c:v>
                </c:pt>
                <c:pt idx="7">
                  <c:v>7282454.9180327822</c:v>
                </c:pt>
                <c:pt idx="8">
                  <c:v>7403829.1666666567</c:v>
                </c:pt>
                <c:pt idx="9">
                  <c:v>7659133.6206896454</c:v>
                </c:pt>
                <c:pt idx="10">
                  <c:v>7793504.3859649096</c:v>
                </c:pt>
                <c:pt idx="11">
                  <c:v>7725734.7826086953</c:v>
                </c:pt>
                <c:pt idx="12">
                  <c:v>8151004.5871559568</c:v>
                </c:pt>
                <c:pt idx="13">
                  <c:v>8303359.8130840994</c:v>
                </c:pt>
                <c:pt idx="14">
                  <c:v>8710387.2549019605</c:v>
                </c:pt>
                <c:pt idx="15">
                  <c:v>8542879.8076922987</c:v>
                </c:pt>
                <c:pt idx="16">
                  <c:v>8710387.2549019605</c:v>
                </c:pt>
                <c:pt idx="17">
                  <c:v>9159376.2886597887</c:v>
                </c:pt>
                <c:pt idx="18">
                  <c:v>9451696.8085106388</c:v>
                </c:pt>
                <c:pt idx="19">
                  <c:v>9065913.2653061207</c:v>
                </c:pt>
                <c:pt idx="20">
                  <c:v>9254786.4583333246</c:v>
                </c:pt>
                <c:pt idx="21">
                  <c:v>9763291.2087911963</c:v>
                </c:pt>
                <c:pt idx="22">
                  <c:v>9553327.9569892436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2A-41AB-BC61-46990E8A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66416"/>
        <c:axId val="1568869328"/>
      </c:scatterChart>
      <c:valAx>
        <c:axId val="156886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温度</a:t>
                </a:r>
                <a:r>
                  <a:rPr lang="en-US" altLang="ja-JP" sz="1800"/>
                  <a:t>T</a:t>
                </a:r>
                <a:r>
                  <a:rPr lang="ja-JP" altLang="en-US" sz="1800"/>
                  <a:t> </a:t>
                </a:r>
                <a:r>
                  <a:rPr lang="en-US" altLang="ja-JP" sz="1800"/>
                  <a:t>[K]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8869328"/>
        <c:crosses val="autoZero"/>
        <c:crossBetween val="midCat"/>
      </c:valAx>
      <c:valAx>
        <c:axId val="156886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磁化率の逆数</a:t>
                </a:r>
                <a:r>
                  <a:rPr lang="en-US" altLang="ja-JP" sz="1800"/>
                  <a:t>1/χ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886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227692</xdr:colOff>
      <xdr:row>1</xdr:row>
      <xdr:rowOff>188004</xdr:rowOff>
    </xdr:from>
    <xdr:to>
      <xdr:col>23</xdr:col>
      <xdr:colOff>697592</xdr:colOff>
      <xdr:row>22</xdr:row>
      <xdr:rowOff>92754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27D6A8E-47AF-DE44-AFB4-0F603BB4F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255084</xdr:colOff>
      <xdr:row>22</xdr:row>
      <xdr:rowOff>78161</xdr:rowOff>
    </xdr:from>
    <xdr:to>
      <xdr:col>19</xdr:col>
      <xdr:colOff>260047</xdr:colOff>
      <xdr:row>43</xdr:row>
      <xdr:rowOff>34774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0140850-D8C1-D548-AC46-723B06AE8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225777</xdr:colOff>
      <xdr:row>2</xdr:row>
      <xdr:rowOff>197556</xdr:rowOff>
    </xdr:from>
    <xdr:to>
      <xdr:col>23</xdr:col>
      <xdr:colOff>239888</xdr:colOff>
      <xdr:row>23</xdr:row>
      <xdr:rowOff>14112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E7084B-2E11-3146-8189-79D0AAE9C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359834</xdr:colOff>
      <xdr:row>26</xdr:row>
      <xdr:rowOff>42333</xdr:rowOff>
    </xdr:from>
    <xdr:to>
      <xdr:col>23</xdr:col>
      <xdr:colOff>402167</xdr:colOff>
      <xdr:row>46</xdr:row>
      <xdr:rowOff>232833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840A5E9-6F76-4CA4-AE21-26B3F76A4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E40E-A19E-3144-A570-2652CB4B314B}">
  <dimension ref="A2:L28"/>
  <sheetViews>
    <sheetView tabSelected="1" zoomScale="70" zoomScaleNormal="70" workbookViewId="0">
      <selection activeCell="G3" sqref="G3"/>
    </sheetView>
  </sheetViews>
  <sheetFormatPr defaultColWidth="11.07421875" defaultRowHeight="20" x14ac:dyDescent="0.6"/>
  <sheetData>
    <row r="2" spans="1:12" x14ac:dyDescent="0.6">
      <c r="A2" t="s">
        <v>5</v>
      </c>
      <c r="B2" t="s">
        <v>6</v>
      </c>
      <c r="C2" t="s">
        <v>3</v>
      </c>
      <c r="D2" t="s">
        <v>4</v>
      </c>
      <c r="F2" t="s">
        <v>2</v>
      </c>
      <c r="G2" t="s">
        <v>7</v>
      </c>
      <c r="H2" t="s">
        <v>10</v>
      </c>
      <c r="I2" t="s">
        <v>11</v>
      </c>
      <c r="K2" t="s">
        <v>8</v>
      </c>
      <c r="L2" t="s">
        <v>9</v>
      </c>
    </row>
    <row r="3" spans="1:12" x14ac:dyDescent="0.6">
      <c r="B3">
        <v>23</v>
      </c>
      <c r="C3">
        <v>7473.57</v>
      </c>
      <c r="D3">
        <v>0.50931000000000004</v>
      </c>
      <c r="F3">
        <f>B3+273</f>
        <v>296</v>
      </c>
      <c r="G3">
        <f t="shared" ref="G3:G27" si="0">D3-(4*3.14*(10^-7)*7471.8252)</f>
        <v>0.49992538754880006</v>
      </c>
      <c r="H3">
        <f>F3/$L$3</f>
        <v>0.46614173228346456</v>
      </c>
      <c r="I3">
        <f>G3/0.52623725</f>
        <v>0.950000000092734</v>
      </c>
      <c r="K3">
        <f>G3/0.95</f>
        <v>0.52623725005136845</v>
      </c>
      <c r="L3">
        <v>635</v>
      </c>
    </row>
    <row r="4" spans="1:12" x14ac:dyDescent="0.6">
      <c r="B4">
        <v>50</v>
      </c>
      <c r="C4">
        <v>7472.12</v>
      </c>
      <c r="D4">
        <v>0.51463999999999999</v>
      </c>
      <c r="F4">
        <f t="shared" ref="F4:F27" si="1">B4+273</f>
        <v>323</v>
      </c>
      <c r="G4">
        <f t="shared" si="0"/>
        <v>0.50525538754879995</v>
      </c>
      <c r="H4">
        <f t="shared" ref="H4:H27" si="2">F4/$L$3</f>
        <v>0.50866141732283465</v>
      </c>
      <c r="I4">
        <f t="shared" ref="I4:I27" si="3">G4/0.52623725</f>
        <v>0.96012851151985146</v>
      </c>
    </row>
    <row r="5" spans="1:12" x14ac:dyDescent="0.6">
      <c r="B5">
        <v>80</v>
      </c>
      <c r="C5">
        <v>7473.33</v>
      </c>
      <c r="D5">
        <v>0.51036999999999999</v>
      </c>
      <c r="F5">
        <f t="shared" si="1"/>
        <v>353</v>
      </c>
      <c r="G5">
        <f t="shared" si="0"/>
        <v>0.50098538754879995</v>
      </c>
      <c r="H5">
        <f t="shared" si="2"/>
        <v>0.55590551181102366</v>
      </c>
      <c r="I5">
        <f t="shared" si="3"/>
        <v>0.95201430067673842</v>
      </c>
    </row>
    <row r="6" spans="1:12" x14ac:dyDescent="0.6">
      <c r="B6">
        <v>110</v>
      </c>
      <c r="C6">
        <v>7472.12</v>
      </c>
      <c r="D6">
        <v>0.50087999999999999</v>
      </c>
      <c r="F6">
        <f t="shared" si="1"/>
        <v>383</v>
      </c>
      <c r="G6">
        <f t="shared" si="0"/>
        <v>0.49149538754880001</v>
      </c>
      <c r="H6">
        <f t="shared" si="2"/>
        <v>0.60314960629921255</v>
      </c>
      <c r="I6">
        <f t="shared" si="3"/>
        <v>0.93398060959918749</v>
      </c>
    </row>
    <row r="7" spans="1:12" x14ac:dyDescent="0.6">
      <c r="B7">
        <v>140</v>
      </c>
      <c r="C7">
        <v>7473.09</v>
      </c>
      <c r="D7">
        <v>0.48714000000000002</v>
      </c>
      <c r="F7">
        <f t="shared" si="1"/>
        <v>413</v>
      </c>
      <c r="G7">
        <f t="shared" si="0"/>
        <v>0.47775538754880004</v>
      </c>
      <c r="H7">
        <f t="shared" si="2"/>
        <v>0.65039370078740155</v>
      </c>
      <c r="I7">
        <f t="shared" si="3"/>
        <v>0.90787071334991976</v>
      </c>
    </row>
    <row r="8" spans="1:12" x14ac:dyDescent="0.6">
      <c r="B8">
        <v>170</v>
      </c>
      <c r="C8">
        <v>7473.33</v>
      </c>
      <c r="D8">
        <v>0.46024999999999999</v>
      </c>
      <c r="F8">
        <f t="shared" si="1"/>
        <v>443</v>
      </c>
      <c r="G8">
        <f t="shared" si="0"/>
        <v>0.45086538754880001</v>
      </c>
      <c r="H8">
        <f t="shared" si="2"/>
        <v>0.69763779527559056</v>
      </c>
      <c r="I8">
        <f t="shared" si="3"/>
        <v>0.85677208815757533</v>
      </c>
    </row>
    <row r="9" spans="1:12" x14ac:dyDescent="0.6">
      <c r="B9">
        <v>200</v>
      </c>
      <c r="C9">
        <v>7473.09</v>
      </c>
      <c r="D9">
        <v>0.41575000000000001</v>
      </c>
      <c r="F9">
        <f t="shared" si="1"/>
        <v>473</v>
      </c>
      <c r="G9">
        <f t="shared" si="0"/>
        <v>0.40636538754880003</v>
      </c>
      <c r="H9">
        <f t="shared" si="2"/>
        <v>0.74488188976377956</v>
      </c>
      <c r="I9">
        <f t="shared" si="3"/>
        <v>0.7722094693007765</v>
      </c>
    </row>
    <row r="10" spans="1:12" x14ac:dyDescent="0.6">
      <c r="B10">
        <v>230</v>
      </c>
      <c r="C10">
        <v>7472.6</v>
      </c>
      <c r="D10">
        <v>0.37280999999999997</v>
      </c>
      <c r="F10">
        <f t="shared" si="1"/>
        <v>503</v>
      </c>
      <c r="G10">
        <f t="shared" si="0"/>
        <v>0.36342538754879999</v>
      </c>
      <c r="H10">
        <f t="shared" si="2"/>
        <v>0.79212598425196845</v>
      </c>
      <c r="I10">
        <f t="shared" si="3"/>
        <v>0.69061129281289002</v>
      </c>
    </row>
    <row r="11" spans="1:12" x14ac:dyDescent="0.6">
      <c r="B11">
        <v>240</v>
      </c>
      <c r="C11">
        <v>7470.68</v>
      </c>
      <c r="D11">
        <v>0.35669000000000001</v>
      </c>
      <c r="F11">
        <f t="shared" si="1"/>
        <v>513</v>
      </c>
      <c r="G11">
        <f t="shared" si="0"/>
        <v>0.34730538754880003</v>
      </c>
      <c r="H11">
        <f t="shared" si="2"/>
        <v>0.80787401574803153</v>
      </c>
      <c r="I11">
        <f t="shared" si="3"/>
        <v>0.65997872166746085</v>
      </c>
    </row>
    <row r="12" spans="1:12" x14ac:dyDescent="0.6">
      <c r="B12">
        <v>250</v>
      </c>
      <c r="C12">
        <v>7473.33</v>
      </c>
      <c r="D12">
        <v>0.33905000000000002</v>
      </c>
      <c r="F12">
        <f t="shared" si="1"/>
        <v>523</v>
      </c>
      <c r="G12">
        <f t="shared" si="0"/>
        <v>0.32966538754880004</v>
      </c>
      <c r="H12">
        <f t="shared" si="2"/>
        <v>0.82362204724409449</v>
      </c>
      <c r="I12">
        <f t="shared" si="3"/>
        <v>0.62645771949591189</v>
      </c>
    </row>
    <row r="13" spans="1:12" x14ac:dyDescent="0.6">
      <c r="B13">
        <v>260</v>
      </c>
      <c r="C13">
        <v>7471.88</v>
      </c>
      <c r="D13">
        <v>0.32251000000000002</v>
      </c>
      <c r="F13">
        <f t="shared" si="1"/>
        <v>533</v>
      </c>
      <c r="G13">
        <f t="shared" si="0"/>
        <v>0.31312538754880004</v>
      </c>
      <c r="H13">
        <f t="shared" si="2"/>
        <v>0.83937007874015745</v>
      </c>
      <c r="I13">
        <f t="shared" si="3"/>
        <v>0.59502702925116013</v>
      </c>
    </row>
    <row r="14" spans="1:12" x14ac:dyDescent="0.6">
      <c r="B14">
        <v>270</v>
      </c>
      <c r="C14">
        <v>7470.44</v>
      </c>
      <c r="D14">
        <v>0.30825000000000002</v>
      </c>
      <c r="F14">
        <f t="shared" si="1"/>
        <v>543</v>
      </c>
      <c r="G14">
        <f t="shared" si="0"/>
        <v>0.29886538754880004</v>
      </c>
      <c r="H14">
        <f t="shared" si="2"/>
        <v>0.85511811023622042</v>
      </c>
      <c r="I14">
        <f t="shared" si="3"/>
        <v>0.56792898554558813</v>
      </c>
    </row>
    <row r="15" spans="1:12" x14ac:dyDescent="0.6">
      <c r="B15">
        <v>280</v>
      </c>
      <c r="C15">
        <v>7472.12</v>
      </c>
      <c r="D15">
        <v>0.29253000000000001</v>
      </c>
      <c r="F15">
        <f t="shared" si="1"/>
        <v>553</v>
      </c>
      <c r="G15">
        <f t="shared" si="0"/>
        <v>0.28314538754880003</v>
      </c>
      <c r="H15">
        <f t="shared" si="2"/>
        <v>0.87086614173228349</v>
      </c>
      <c r="I15">
        <f t="shared" si="3"/>
        <v>0.53805652782808522</v>
      </c>
    </row>
    <row r="16" spans="1:12" x14ac:dyDescent="0.6">
      <c r="B16">
        <v>290</v>
      </c>
      <c r="C16">
        <v>7473.09</v>
      </c>
      <c r="D16">
        <v>0.27567999999999998</v>
      </c>
      <c r="F16">
        <f t="shared" si="1"/>
        <v>563</v>
      </c>
      <c r="G16">
        <f t="shared" si="0"/>
        <v>0.2662953875488</v>
      </c>
      <c r="H16">
        <f t="shared" si="2"/>
        <v>0.88661417322834646</v>
      </c>
      <c r="I16">
        <f t="shared" si="3"/>
        <v>0.50603674967669054</v>
      </c>
    </row>
    <row r="17" spans="2:9" x14ac:dyDescent="0.6">
      <c r="B17">
        <v>300</v>
      </c>
      <c r="C17">
        <v>7471.64</v>
      </c>
      <c r="D17">
        <v>0.25553999999999999</v>
      </c>
      <c r="F17">
        <f t="shared" si="1"/>
        <v>573</v>
      </c>
      <c r="G17">
        <f t="shared" si="0"/>
        <v>0.24615538754879998</v>
      </c>
      <c r="H17">
        <f t="shared" si="2"/>
        <v>0.90236220472440942</v>
      </c>
      <c r="I17">
        <f t="shared" si="3"/>
        <v>0.46776503858060214</v>
      </c>
    </row>
    <row r="18" spans="2:9" x14ac:dyDescent="0.6">
      <c r="B18">
        <v>310</v>
      </c>
      <c r="C18">
        <v>7470.44</v>
      </c>
      <c r="D18">
        <v>0.23466000000000001</v>
      </c>
      <c r="F18">
        <f t="shared" si="1"/>
        <v>583</v>
      </c>
      <c r="G18">
        <f t="shared" si="0"/>
        <v>0.2252753875488</v>
      </c>
      <c r="H18">
        <f t="shared" si="2"/>
        <v>0.91811023622047239</v>
      </c>
      <c r="I18">
        <f t="shared" si="3"/>
        <v>0.42808711764285023</v>
      </c>
    </row>
    <row r="19" spans="2:9" x14ac:dyDescent="0.6">
      <c r="B19">
        <v>320</v>
      </c>
      <c r="C19">
        <v>7472.36</v>
      </c>
      <c r="D19">
        <v>0.21643000000000001</v>
      </c>
      <c r="F19">
        <f t="shared" si="1"/>
        <v>593</v>
      </c>
      <c r="G19">
        <f t="shared" si="0"/>
        <v>0.2070453875488</v>
      </c>
      <c r="H19">
        <f t="shared" si="2"/>
        <v>0.93385826771653546</v>
      </c>
      <c r="I19">
        <f t="shared" si="3"/>
        <v>0.39344494816510994</v>
      </c>
    </row>
    <row r="20" spans="2:9" x14ac:dyDescent="0.6">
      <c r="B20">
        <v>330</v>
      </c>
      <c r="C20">
        <v>7470.68</v>
      </c>
      <c r="D20">
        <v>0.19361</v>
      </c>
      <c r="F20">
        <f t="shared" si="1"/>
        <v>603</v>
      </c>
      <c r="G20">
        <f t="shared" si="0"/>
        <v>0.1842253875488</v>
      </c>
      <c r="H20">
        <f t="shared" si="2"/>
        <v>0.94960629921259843</v>
      </c>
      <c r="I20">
        <f t="shared" si="3"/>
        <v>0.35008047710191553</v>
      </c>
    </row>
    <row r="21" spans="2:9" x14ac:dyDescent="0.6">
      <c r="B21">
        <v>340</v>
      </c>
      <c r="C21">
        <v>7471.16</v>
      </c>
      <c r="D21">
        <v>0.1646</v>
      </c>
      <c r="F21">
        <f t="shared" si="1"/>
        <v>613</v>
      </c>
      <c r="G21">
        <f t="shared" si="0"/>
        <v>0.15521538754879999</v>
      </c>
      <c r="H21">
        <f t="shared" si="2"/>
        <v>0.96535433070866139</v>
      </c>
      <c r="I21">
        <f t="shared" si="3"/>
        <v>0.29495325074156187</v>
      </c>
    </row>
    <row r="22" spans="2:9" x14ac:dyDescent="0.6">
      <c r="B22">
        <v>350</v>
      </c>
      <c r="C22">
        <v>7473.33</v>
      </c>
      <c r="D22">
        <v>0.12089</v>
      </c>
      <c r="F22">
        <f t="shared" si="1"/>
        <v>623</v>
      </c>
      <c r="G22">
        <f t="shared" si="0"/>
        <v>0.1115053875488</v>
      </c>
      <c r="H22">
        <f t="shared" si="2"/>
        <v>0.98110236220472435</v>
      </c>
      <c r="I22">
        <f t="shared" si="3"/>
        <v>0.21189185590491741</v>
      </c>
    </row>
    <row r="23" spans="2:9" x14ac:dyDescent="0.6">
      <c r="B23">
        <v>360</v>
      </c>
      <c r="C23">
        <v>7470.44</v>
      </c>
      <c r="D23">
        <v>1.7770000000000001E-2</v>
      </c>
      <c r="F23">
        <f t="shared" si="1"/>
        <v>633</v>
      </c>
      <c r="G23">
        <f t="shared" si="0"/>
        <v>8.3853875488000013E-3</v>
      </c>
      <c r="H23">
        <f t="shared" si="2"/>
        <v>0.99685039370078743</v>
      </c>
      <c r="I23">
        <f t="shared" si="3"/>
        <v>1.5934614185521837E-2</v>
      </c>
    </row>
    <row r="24" spans="2:9" x14ac:dyDescent="0.6">
      <c r="B24">
        <v>370</v>
      </c>
      <c r="C24">
        <v>7470.68</v>
      </c>
      <c r="D24">
        <v>1.5820000000000001E-2</v>
      </c>
      <c r="F24">
        <f t="shared" si="1"/>
        <v>643</v>
      </c>
      <c r="G24">
        <f t="shared" si="0"/>
        <v>6.435387548800001E-3</v>
      </c>
      <c r="H24">
        <f t="shared" si="2"/>
        <v>1.0125984251968505</v>
      </c>
      <c r="I24">
        <f t="shared" si="3"/>
        <v>1.2229061224381211E-2</v>
      </c>
    </row>
    <row r="25" spans="2:9" x14ac:dyDescent="0.6">
      <c r="B25">
        <v>380</v>
      </c>
      <c r="C25">
        <v>7469.71</v>
      </c>
      <c r="D25">
        <v>1.5520000000000001E-2</v>
      </c>
      <c r="F25">
        <f t="shared" si="1"/>
        <v>653</v>
      </c>
      <c r="G25">
        <f t="shared" si="0"/>
        <v>6.1353875488000011E-3</v>
      </c>
      <c r="H25">
        <f t="shared" si="2"/>
        <v>1.0283464566929135</v>
      </c>
      <c r="I25">
        <f t="shared" si="3"/>
        <v>1.1658976153436499E-2</v>
      </c>
    </row>
    <row r="26" spans="2:9" x14ac:dyDescent="0.6">
      <c r="B26">
        <v>390</v>
      </c>
      <c r="C26">
        <v>7470.2</v>
      </c>
      <c r="D26">
        <v>1.5610000000000001E-2</v>
      </c>
      <c r="F26">
        <f t="shared" si="1"/>
        <v>663</v>
      </c>
      <c r="G26">
        <f t="shared" si="0"/>
        <v>6.2253875488000009E-3</v>
      </c>
      <c r="H26">
        <f t="shared" si="2"/>
        <v>1.0440944881889764</v>
      </c>
      <c r="I26">
        <f t="shared" si="3"/>
        <v>1.1830001674719912E-2</v>
      </c>
    </row>
    <row r="27" spans="2:9" x14ac:dyDescent="0.6">
      <c r="B27">
        <v>400</v>
      </c>
      <c r="C27">
        <v>7470.2</v>
      </c>
      <c r="D27">
        <v>1.6619999999999999E-2</v>
      </c>
      <c r="F27">
        <f t="shared" si="1"/>
        <v>673</v>
      </c>
      <c r="G27">
        <f t="shared" si="0"/>
        <v>7.2353875487999996E-3</v>
      </c>
      <c r="H27">
        <f t="shared" si="2"/>
        <v>1.0598425196850394</v>
      </c>
      <c r="I27">
        <f t="shared" si="3"/>
        <v>1.3749288080233773E-2</v>
      </c>
    </row>
    <row r="28" spans="2:9" x14ac:dyDescent="0.6">
      <c r="C28">
        <f>(C3+C4+C5+C6+C7+C8+C9+C10+C11+C12+C13+C14+C15+C16+C17+C18+C19+C20+C21+C22+C23+C24+C25+C26+C27)/25</f>
        <v>7471.8252000000002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5A98-2575-6C43-9E99-8358916465A2}">
  <dimension ref="A2:H93"/>
  <sheetViews>
    <sheetView topLeftCell="D22" zoomScale="60" zoomScaleNormal="60" workbookViewId="0">
      <selection activeCell="K31" sqref="K31"/>
    </sheetView>
  </sheetViews>
  <sheetFormatPr defaultColWidth="11.07421875" defaultRowHeight="20" x14ac:dyDescent="0.6"/>
  <cols>
    <col min="7" max="7" width="12" bestFit="1" customWidth="1"/>
  </cols>
  <sheetData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7</v>
      </c>
      <c r="G2" t="s">
        <v>12</v>
      </c>
      <c r="H2" t="s">
        <v>13</v>
      </c>
    </row>
    <row r="3" spans="1:8" x14ac:dyDescent="0.6">
      <c r="B3">
        <v>10</v>
      </c>
      <c r="C3">
        <v>77.400000000000006</v>
      </c>
    </row>
    <row r="4" spans="1:8" x14ac:dyDescent="0.6">
      <c r="B4">
        <v>10.5</v>
      </c>
      <c r="C4">
        <v>79.8</v>
      </c>
      <c r="D4">
        <v>8896</v>
      </c>
      <c r="E4">
        <v>0.13589000000000001</v>
      </c>
      <c r="F4">
        <f>E4-0.009</f>
        <v>0.12689</v>
      </c>
      <c r="G4">
        <f>F4/8884.595</f>
        <v>1.4282024110271769E-5</v>
      </c>
      <c r="H4">
        <f>1/G4</f>
        <v>70018.086531641573</v>
      </c>
    </row>
    <row r="5" spans="1:8" x14ac:dyDescent="0.6">
      <c r="B5">
        <v>11</v>
      </c>
      <c r="C5">
        <v>82.2</v>
      </c>
      <c r="D5">
        <v>8896.2900000000009</v>
      </c>
      <c r="E5">
        <v>0.12514</v>
      </c>
      <c r="F5">
        <f t="shared" ref="F5:F68" si="0">E5-0.009</f>
        <v>0.11614000000000001</v>
      </c>
      <c r="G5">
        <f t="shared" ref="G5:G68" si="1">F5/8884.595</f>
        <v>1.3072064624217539E-5</v>
      </c>
      <c r="H5">
        <f t="shared" ref="H5:H68" si="2">1/G5</f>
        <v>76499.009815739613</v>
      </c>
    </row>
    <row r="6" spans="1:8" x14ac:dyDescent="0.6">
      <c r="B6">
        <v>11.5</v>
      </c>
      <c r="C6">
        <v>84.6</v>
      </c>
      <c r="D6">
        <v>8894</v>
      </c>
      <c r="E6">
        <v>9.8900000000000002E-2</v>
      </c>
      <c r="F6">
        <f t="shared" si="0"/>
        <v>8.9900000000000008E-2</v>
      </c>
      <c r="G6">
        <f t="shared" si="1"/>
        <v>1.0118637934537254E-5</v>
      </c>
      <c r="H6">
        <f t="shared" si="2"/>
        <v>98827.530589543923</v>
      </c>
    </row>
    <row r="7" spans="1:8" x14ac:dyDescent="0.6">
      <c r="B7">
        <v>12</v>
      </c>
      <c r="C7">
        <v>87.1</v>
      </c>
      <c r="D7">
        <v>8894.86</v>
      </c>
      <c r="E7">
        <v>5.5449999999999999E-2</v>
      </c>
      <c r="F7">
        <f t="shared" si="0"/>
        <v>4.6449999999999998E-2</v>
      </c>
      <c r="G7">
        <f t="shared" si="1"/>
        <v>5.2281505234622398E-6</v>
      </c>
      <c r="H7">
        <f t="shared" si="2"/>
        <v>191272.22820236813</v>
      </c>
    </row>
    <row r="8" spans="1:8" x14ac:dyDescent="0.6">
      <c r="B8">
        <v>12.5</v>
      </c>
      <c r="C8">
        <v>89.5</v>
      </c>
      <c r="D8">
        <v>8893.43</v>
      </c>
      <c r="E8">
        <v>3.0669999999999999E-2</v>
      </c>
      <c r="F8">
        <f t="shared" si="0"/>
        <v>2.1670000000000002E-2</v>
      </c>
      <c r="G8">
        <f t="shared" si="1"/>
        <v>2.4390532151437409E-6</v>
      </c>
      <c r="H8">
        <f t="shared" si="2"/>
        <v>409995.15459160117</v>
      </c>
    </row>
    <row r="9" spans="1:8" x14ac:dyDescent="0.6">
      <c r="B9">
        <v>13</v>
      </c>
      <c r="C9">
        <v>91.9</v>
      </c>
      <c r="D9">
        <v>8893.14</v>
      </c>
      <c r="E9">
        <v>2.368E-2</v>
      </c>
      <c r="F9">
        <f t="shared" si="0"/>
        <v>1.468E-2</v>
      </c>
      <c r="G9">
        <f t="shared" si="1"/>
        <v>1.6522981632815002E-6</v>
      </c>
      <c r="H9">
        <f t="shared" si="2"/>
        <v>605217.6430517711</v>
      </c>
    </row>
    <row r="10" spans="1:8" x14ac:dyDescent="0.6">
      <c r="B10">
        <v>13.5</v>
      </c>
      <c r="C10">
        <v>94.3</v>
      </c>
      <c r="D10">
        <v>8894</v>
      </c>
      <c r="E10">
        <v>2.0840000000000001E-2</v>
      </c>
      <c r="F10">
        <f t="shared" si="0"/>
        <v>1.1840000000000002E-2</v>
      </c>
      <c r="G10">
        <f t="shared" si="1"/>
        <v>1.3326437502215917E-6</v>
      </c>
      <c r="H10">
        <f t="shared" si="2"/>
        <v>750388.0912162161</v>
      </c>
    </row>
    <row r="11" spans="1:8" x14ac:dyDescent="0.6">
      <c r="B11">
        <v>14</v>
      </c>
      <c r="C11">
        <v>96.8</v>
      </c>
      <c r="D11">
        <v>8891.14</v>
      </c>
      <c r="E11">
        <v>1.8880000000000001E-2</v>
      </c>
      <c r="F11">
        <f t="shared" si="0"/>
        <v>9.8800000000000016E-3</v>
      </c>
      <c r="G11">
        <f t="shared" si="1"/>
        <v>1.1120371834619364E-6</v>
      </c>
      <c r="H11">
        <f t="shared" si="2"/>
        <v>899250.50607287418</v>
      </c>
    </row>
    <row r="12" spans="1:8" x14ac:dyDescent="0.6">
      <c r="B12">
        <v>14.5</v>
      </c>
      <c r="C12">
        <v>99.2</v>
      </c>
      <c r="D12">
        <v>8892.2800000000007</v>
      </c>
      <c r="E12">
        <v>1.7670000000000002E-2</v>
      </c>
      <c r="F12">
        <f t="shared" si="0"/>
        <v>8.6700000000000024E-3</v>
      </c>
      <c r="G12">
        <f t="shared" si="1"/>
        <v>9.7584639479908791E-7</v>
      </c>
      <c r="H12">
        <f t="shared" si="2"/>
        <v>1024751.4417531716</v>
      </c>
    </row>
    <row r="13" spans="1:8" x14ac:dyDescent="0.6">
      <c r="B13">
        <v>15</v>
      </c>
      <c r="C13">
        <v>101.7</v>
      </c>
      <c r="D13">
        <v>8893.7099999999991</v>
      </c>
      <c r="E13">
        <v>1.6729999999999998E-2</v>
      </c>
      <c r="F13">
        <f t="shared" si="0"/>
        <v>7.729999999999999E-3</v>
      </c>
      <c r="G13">
        <f t="shared" si="1"/>
        <v>8.7004528625108967E-7</v>
      </c>
      <c r="H13">
        <f t="shared" si="2"/>
        <v>1149365.4592496767</v>
      </c>
    </row>
    <row r="14" spans="1:8" x14ac:dyDescent="0.6">
      <c r="B14">
        <v>15.5</v>
      </c>
      <c r="C14">
        <v>104.1</v>
      </c>
      <c r="D14">
        <v>8891.43</v>
      </c>
      <c r="E14">
        <v>1.5990000000000001E-2</v>
      </c>
      <c r="F14">
        <f t="shared" si="0"/>
        <v>6.9900000000000014E-3</v>
      </c>
      <c r="G14">
        <f t="shared" si="1"/>
        <v>7.867550518622404E-7</v>
      </c>
      <c r="H14">
        <f t="shared" si="2"/>
        <v>1271043.6337625175</v>
      </c>
    </row>
    <row r="15" spans="1:8" x14ac:dyDescent="0.6">
      <c r="B15">
        <v>16</v>
      </c>
      <c r="C15">
        <v>106.5</v>
      </c>
      <c r="D15">
        <v>8891.7099999999991</v>
      </c>
      <c r="E15">
        <v>1.538E-2</v>
      </c>
      <c r="F15">
        <f t="shared" si="0"/>
        <v>6.3800000000000003E-3</v>
      </c>
      <c r="G15">
        <f t="shared" si="1"/>
        <v>7.1809688567683733E-7</v>
      </c>
      <c r="H15">
        <f t="shared" si="2"/>
        <v>1392569.7492163009</v>
      </c>
    </row>
    <row r="16" spans="1:8" x14ac:dyDescent="0.6">
      <c r="B16">
        <v>16.5</v>
      </c>
      <c r="C16">
        <v>109</v>
      </c>
      <c r="D16">
        <v>8890.85</v>
      </c>
      <c r="E16">
        <v>1.4930000000000001E-2</v>
      </c>
      <c r="F16">
        <f t="shared" si="0"/>
        <v>5.9300000000000012E-3</v>
      </c>
      <c r="G16">
        <f t="shared" si="1"/>
        <v>6.6744741881875329E-7</v>
      </c>
      <c r="H16">
        <f t="shared" si="2"/>
        <v>1498245.3625632375</v>
      </c>
    </row>
    <row r="17" spans="2:8" x14ac:dyDescent="0.6">
      <c r="B17">
        <v>17</v>
      </c>
      <c r="C17">
        <v>111.4</v>
      </c>
      <c r="D17">
        <v>8890</v>
      </c>
      <c r="E17">
        <v>1.452E-2</v>
      </c>
      <c r="F17">
        <f t="shared" si="0"/>
        <v>5.5200000000000006E-3</v>
      </c>
      <c r="G17">
        <f t="shared" si="1"/>
        <v>6.2130012679249887E-7</v>
      </c>
      <c r="H17">
        <f t="shared" si="2"/>
        <v>1609528.0797101445</v>
      </c>
    </row>
    <row r="18" spans="2:8" x14ac:dyDescent="0.6">
      <c r="B18">
        <v>17.5</v>
      </c>
      <c r="C18">
        <v>113.9</v>
      </c>
      <c r="D18">
        <v>8890.57</v>
      </c>
      <c r="E18">
        <v>1.4149999999999999E-2</v>
      </c>
      <c r="F18">
        <f t="shared" si="0"/>
        <v>5.1500000000000001E-3</v>
      </c>
      <c r="G18">
        <f t="shared" si="1"/>
        <v>5.7965500959807397E-7</v>
      </c>
      <c r="H18">
        <f t="shared" si="2"/>
        <v>1725164.0776699029</v>
      </c>
    </row>
    <row r="19" spans="2:8" x14ac:dyDescent="0.6">
      <c r="B19">
        <v>18</v>
      </c>
      <c r="C19">
        <v>116.3</v>
      </c>
      <c r="D19">
        <v>8890.57</v>
      </c>
      <c r="E19">
        <v>1.389E-2</v>
      </c>
      <c r="F19">
        <f t="shared" si="0"/>
        <v>4.8900000000000002E-3</v>
      </c>
      <c r="G19">
        <f t="shared" si="1"/>
        <v>5.5039087319118093E-7</v>
      </c>
      <c r="H19">
        <f t="shared" si="2"/>
        <v>1816890.5930470347</v>
      </c>
    </row>
    <row r="20" spans="2:8" x14ac:dyDescent="0.6">
      <c r="B20">
        <v>18.5</v>
      </c>
      <c r="C20">
        <v>118.8</v>
      </c>
      <c r="D20">
        <v>8888.57</v>
      </c>
      <c r="E20">
        <v>1.359E-2</v>
      </c>
      <c r="F20">
        <f t="shared" si="0"/>
        <v>4.5900000000000003E-3</v>
      </c>
      <c r="G20">
        <f t="shared" si="1"/>
        <v>5.1662456195245827E-7</v>
      </c>
      <c r="H20">
        <f t="shared" si="2"/>
        <v>1935641.6122004353</v>
      </c>
    </row>
    <row r="21" spans="2:8" x14ac:dyDescent="0.6">
      <c r="B21">
        <v>19</v>
      </c>
      <c r="C21">
        <v>121.3</v>
      </c>
      <c r="D21">
        <v>8891.43</v>
      </c>
      <c r="E21">
        <v>1.345E-2</v>
      </c>
      <c r="F21">
        <f t="shared" si="0"/>
        <v>4.4500000000000008E-3</v>
      </c>
      <c r="G21">
        <f t="shared" si="1"/>
        <v>5.0086695004105432E-7</v>
      </c>
      <c r="H21">
        <f t="shared" si="2"/>
        <v>1996538.2022471905</v>
      </c>
    </row>
    <row r="22" spans="2:8" x14ac:dyDescent="0.6">
      <c r="B22">
        <v>19.5</v>
      </c>
      <c r="C22">
        <v>123.7</v>
      </c>
      <c r="D22">
        <v>8889.14</v>
      </c>
      <c r="E22">
        <v>1.32E-2</v>
      </c>
      <c r="F22">
        <f t="shared" si="0"/>
        <v>4.2000000000000006E-3</v>
      </c>
      <c r="G22">
        <f t="shared" si="1"/>
        <v>4.7272835734211867E-7</v>
      </c>
      <c r="H22">
        <f t="shared" si="2"/>
        <v>2115379.7619047617</v>
      </c>
    </row>
    <row r="23" spans="2:8" x14ac:dyDescent="0.6">
      <c r="B23">
        <v>20</v>
      </c>
      <c r="C23">
        <v>126.2</v>
      </c>
      <c r="D23">
        <v>8886.85</v>
      </c>
      <c r="E23">
        <v>1.311E-2</v>
      </c>
      <c r="F23">
        <f t="shared" si="0"/>
        <v>4.1100000000000008E-3</v>
      </c>
      <c r="G23">
        <f t="shared" si="1"/>
        <v>4.6259846397050188E-7</v>
      </c>
      <c r="H23">
        <f t="shared" si="2"/>
        <v>2161701.946472019</v>
      </c>
    </row>
    <row r="24" spans="2:8" x14ac:dyDescent="0.6">
      <c r="B24">
        <v>20.5</v>
      </c>
      <c r="C24">
        <v>128.69999999999999</v>
      </c>
      <c r="D24">
        <v>8887.99</v>
      </c>
      <c r="E24">
        <v>1.295E-2</v>
      </c>
      <c r="F24">
        <f t="shared" si="0"/>
        <v>3.9500000000000004E-3</v>
      </c>
      <c r="G24">
        <f t="shared" si="1"/>
        <v>4.4458976464318301E-7</v>
      </c>
      <c r="H24">
        <f t="shared" si="2"/>
        <v>2249264.5569620249</v>
      </c>
    </row>
    <row r="25" spans="2:8" x14ac:dyDescent="0.6">
      <c r="B25">
        <v>21</v>
      </c>
      <c r="C25">
        <v>131.1</v>
      </c>
      <c r="D25">
        <v>8885.7099999999991</v>
      </c>
      <c r="E25">
        <v>1.2919999999999999E-2</v>
      </c>
      <c r="F25">
        <f t="shared" si="0"/>
        <v>3.9199999999999999E-3</v>
      </c>
      <c r="G25">
        <f t="shared" si="1"/>
        <v>4.4121313351931071E-7</v>
      </c>
      <c r="H25">
        <f t="shared" si="2"/>
        <v>2266478.3163265302</v>
      </c>
    </row>
    <row r="26" spans="2:8" x14ac:dyDescent="0.6">
      <c r="B26">
        <v>21.5</v>
      </c>
      <c r="C26">
        <v>133.6</v>
      </c>
      <c r="D26">
        <v>8887.42</v>
      </c>
      <c r="E26">
        <v>1.278E-2</v>
      </c>
      <c r="F26">
        <f t="shared" si="0"/>
        <v>3.7800000000000004E-3</v>
      </c>
      <c r="G26">
        <f t="shared" si="1"/>
        <v>4.2545552160790682E-7</v>
      </c>
      <c r="H26">
        <f t="shared" si="2"/>
        <v>2350421.9576719571</v>
      </c>
    </row>
    <row r="27" spans="2:8" x14ac:dyDescent="0.6">
      <c r="B27">
        <v>22</v>
      </c>
      <c r="C27">
        <v>136.1</v>
      </c>
      <c r="D27">
        <v>8887.42</v>
      </c>
      <c r="E27">
        <v>1.2630000000000001E-2</v>
      </c>
      <c r="F27">
        <f t="shared" si="0"/>
        <v>3.6300000000000013E-3</v>
      </c>
      <c r="G27">
        <f t="shared" si="1"/>
        <v>4.0857236598854554E-7</v>
      </c>
      <c r="H27">
        <f t="shared" si="2"/>
        <v>2447546.8319559218</v>
      </c>
    </row>
    <row r="28" spans="2:8" x14ac:dyDescent="0.6">
      <c r="B28">
        <v>22.5</v>
      </c>
      <c r="C28">
        <v>138.6</v>
      </c>
      <c r="D28">
        <v>8887.99</v>
      </c>
      <c r="E28">
        <v>1.2619999999999999E-2</v>
      </c>
      <c r="F28">
        <f t="shared" si="0"/>
        <v>3.62E-3</v>
      </c>
      <c r="G28">
        <f t="shared" si="1"/>
        <v>4.0744682228058795E-7</v>
      </c>
      <c r="H28">
        <f t="shared" si="2"/>
        <v>2454308.0110497237</v>
      </c>
    </row>
    <row r="29" spans="2:8" x14ac:dyDescent="0.6">
      <c r="B29">
        <v>23</v>
      </c>
      <c r="C29">
        <v>141.1</v>
      </c>
      <c r="D29">
        <v>8886.2800000000007</v>
      </c>
      <c r="E29">
        <v>1.2500000000000001E-2</v>
      </c>
      <c r="F29">
        <f t="shared" si="0"/>
        <v>3.5000000000000014E-3</v>
      </c>
      <c r="G29">
        <f t="shared" si="1"/>
        <v>3.9394029778509902E-7</v>
      </c>
      <c r="H29">
        <f t="shared" si="2"/>
        <v>2538455.7142857132</v>
      </c>
    </row>
    <row r="30" spans="2:8" x14ac:dyDescent="0.6">
      <c r="B30">
        <v>23.5</v>
      </c>
      <c r="C30">
        <v>143.5</v>
      </c>
      <c r="D30">
        <v>8884.56</v>
      </c>
      <c r="E30">
        <v>1.24E-2</v>
      </c>
      <c r="F30">
        <f t="shared" si="0"/>
        <v>3.4000000000000002E-3</v>
      </c>
      <c r="G30">
        <f t="shared" si="1"/>
        <v>3.8268486070552464E-7</v>
      </c>
      <c r="H30">
        <f t="shared" si="2"/>
        <v>2613116.1764705875</v>
      </c>
    </row>
    <row r="31" spans="2:8" x14ac:dyDescent="0.6">
      <c r="B31">
        <v>24</v>
      </c>
      <c r="C31">
        <v>146</v>
      </c>
      <c r="D31">
        <v>8885.7099999999991</v>
      </c>
      <c r="E31">
        <v>1.24E-2</v>
      </c>
      <c r="F31">
        <f t="shared" si="0"/>
        <v>3.4000000000000002E-3</v>
      </c>
      <c r="G31">
        <f t="shared" si="1"/>
        <v>3.8268486070552464E-7</v>
      </c>
      <c r="H31">
        <f t="shared" si="2"/>
        <v>2613116.1764705875</v>
      </c>
    </row>
    <row r="32" spans="2:8" x14ac:dyDescent="0.6">
      <c r="B32">
        <v>24.5</v>
      </c>
      <c r="C32">
        <v>148.5</v>
      </c>
      <c r="D32">
        <v>8886.2800000000007</v>
      </c>
      <c r="E32">
        <v>1.23E-2</v>
      </c>
      <c r="F32">
        <f t="shared" si="0"/>
        <v>3.3000000000000008E-3</v>
      </c>
      <c r="G32">
        <f t="shared" si="1"/>
        <v>3.7142942362595042E-7</v>
      </c>
      <c r="H32">
        <f t="shared" si="2"/>
        <v>2692301.5151515142</v>
      </c>
    </row>
    <row r="33" spans="2:8" x14ac:dyDescent="0.6">
      <c r="B33">
        <v>25</v>
      </c>
      <c r="C33">
        <v>151</v>
      </c>
      <c r="D33">
        <v>8884.85</v>
      </c>
      <c r="E33">
        <v>1.2279999999999999E-2</v>
      </c>
      <c r="F33">
        <f t="shared" si="0"/>
        <v>3.2799999999999999E-3</v>
      </c>
      <c r="G33">
        <f t="shared" si="1"/>
        <v>3.691783362100355E-7</v>
      </c>
      <c r="H33">
        <f t="shared" si="2"/>
        <v>2708717.9878048776</v>
      </c>
    </row>
    <row r="34" spans="2:8" x14ac:dyDescent="0.6">
      <c r="B34">
        <v>25.5</v>
      </c>
      <c r="C34">
        <v>153.5</v>
      </c>
      <c r="D34">
        <v>8884.56</v>
      </c>
      <c r="E34">
        <v>1.2290000000000001E-2</v>
      </c>
      <c r="F34">
        <f t="shared" si="0"/>
        <v>3.2900000000000013E-3</v>
      </c>
      <c r="G34">
        <f t="shared" si="1"/>
        <v>3.7030387991799304E-7</v>
      </c>
      <c r="H34">
        <f t="shared" si="2"/>
        <v>2700484.8024316099</v>
      </c>
    </row>
    <row r="35" spans="2:8" x14ac:dyDescent="0.6">
      <c r="B35">
        <v>26</v>
      </c>
      <c r="C35">
        <v>156</v>
      </c>
      <c r="D35">
        <v>8885.1299999999992</v>
      </c>
      <c r="E35">
        <v>1.23E-2</v>
      </c>
      <c r="F35">
        <f t="shared" si="0"/>
        <v>3.3000000000000008E-3</v>
      </c>
      <c r="G35">
        <f t="shared" si="1"/>
        <v>3.7142942362595042E-7</v>
      </c>
      <c r="H35">
        <f t="shared" si="2"/>
        <v>2692301.5151515142</v>
      </c>
    </row>
    <row r="36" spans="2:8" x14ac:dyDescent="0.6">
      <c r="B36">
        <v>26.5</v>
      </c>
      <c r="C36">
        <v>158.5</v>
      </c>
      <c r="D36">
        <v>8884.2800000000007</v>
      </c>
      <c r="E36">
        <v>1.23E-2</v>
      </c>
      <c r="F36">
        <f t="shared" si="0"/>
        <v>3.3000000000000008E-3</v>
      </c>
      <c r="G36">
        <f t="shared" si="1"/>
        <v>3.7142942362595042E-7</v>
      </c>
      <c r="H36">
        <f t="shared" si="2"/>
        <v>2692301.5151515142</v>
      </c>
    </row>
    <row r="37" spans="2:8" x14ac:dyDescent="0.6">
      <c r="B37">
        <v>27</v>
      </c>
      <c r="C37">
        <v>161</v>
      </c>
      <c r="D37">
        <v>8884.85</v>
      </c>
      <c r="E37">
        <v>1.23E-2</v>
      </c>
      <c r="F37">
        <f t="shared" si="0"/>
        <v>3.3000000000000008E-3</v>
      </c>
      <c r="G37">
        <f t="shared" si="1"/>
        <v>3.7142942362595042E-7</v>
      </c>
      <c r="H37">
        <f t="shared" si="2"/>
        <v>2692301.5151515142</v>
      </c>
    </row>
    <row r="38" spans="2:8" x14ac:dyDescent="0.6">
      <c r="B38">
        <v>27.5</v>
      </c>
      <c r="C38">
        <v>163.5</v>
      </c>
      <c r="D38">
        <v>8883.99</v>
      </c>
      <c r="E38">
        <v>1.23E-2</v>
      </c>
      <c r="F38">
        <f t="shared" si="0"/>
        <v>3.3000000000000008E-3</v>
      </c>
      <c r="G38">
        <f t="shared" si="1"/>
        <v>3.7142942362595042E-7</v>
      </c>
      <c r="H38">
        <f t="shared" si="2"/>
        <v>2692301.5151515142</v>
      </c>
    </row>
    <row r="39" spans="2:8" x14ac:dyDescent="0.6">
      <c r="B39">
        <v>28</v>
      </c>
      <c r="C39">
        <v>166</v>
      </c>
      <c r="D39">
        <v>8884.56</v>
      </c>
      <c r="E39">
        <v>1.238E-2</v>
      </c>
      <c r="F39">
        <f t="shared" si="0"/>
        <v>3.3800000000000011E-3</v>
      </c>
      <c r="G39">
        <f t="shared" si="1"/>
        <v>3.8043377328960988E-7</v>
      </c>
      <c r="H39">
        <f t="shared" si="2"/>
        <v>2628578.4023668626</v>
      </c>
    </row>
    <row r="40" spans="2:8" x14ac:dyDescent="0.6">
      <c r="B40">
        <v>28.5</v>
      </c>
      <c r="C40">
        <v>168.6</v>
      </c>
      <c r="D40">
        <v>8882.27</v>
      </c>
      <c r="E40">
        <v>1.243E-2</v>
      </c>
      <c r="F40">
        <f t="shared" si="0"/>
        <v>3.4300000000000008E-3</v>
      </c>
      <c r="G40">
        <f t="shared" si="1"/>
        <v>3.8606149182939694E-7</v>
      </c>
      <c r="H40">
        <f t="shared" si="2"/>
        <v>2590260.9329446056</v>
      </c>
    </row>
    <row r="41" spans="2:8" x14ac:dyDescent="0.6">
      <c r="B41">
        <v>29</v>
      </c>
      <c r="C41">
        <v>171.1</v>
      </c>
      <c r="D41">
        <v>8883.7000000000007</v>
      </c>
      <c r="E41">
        <v>1.257E-2</v>
      </c>
      <c r="F41">
        <f t="shared" si="0"/>
        <v>3.5700000000000003E-3</v>
      </c>
      <c r="G41">
        <f t="shared" si="1"/>
        <v>4.0181910374080084E-7</v>
      </c>
      <c r="H41">
        <f t="shared" si="2"/>
        <v>2488682.0728291315</v>
      </c>
    </row>
    <row r="42" spans="2:8" x14ac:dyDescent="0.6">
      <c r="B42">
        <v>29.5</v>
      </c>
      <c r="C42">
        <v>173.6</v>
      </c>
      <c r="D42">
        <v>8884.2800000000007</v>
      </c>
      <c r="E42">
        <v>1.2630000000000001E-2</v>
      </c>
      <c r="F42">
        <f t="shared" si="0"/>
        <v>3.6300000000000013E-3</v>
      </c>
      <c r="G42">
        <f t="shared" si="1"/>
        <v>4.0857236598854554E-7</v>
      </c>
      <c r="H42">
        <f t="shared" si="2"/>
        <v>2447546.8319559218</v>
      </c>
    </row>
    <row r="43" spans="2:8" x14ac:dyDescent="0.6">
      <c r="B43">
        <v>30</v>
      </c>
      <c r="C43">
        <v>176.1</v>
      </c>
      <c r="D43">
        <v>8884.2800000000007</v>
      </c>
      <c r="E43">
        <v>1.295E-2</v>
      </c>
      <c r="F43">
        <f t="shared" si="0"/>
        <v>3.9500000000000004E-3</v>
      </c>
      <c r="G43">
        <f t="shared" si="1"/>
        <v>4.4458976464318301E-7</v>
      </c>
      <c r="H43">
        <f t="shared" si="2"/>
        <v>2249264.5569620249</v>
      </c>
    </row>
    <row r="44" spans="2:8" x14ac:dyDescent="0.6">
      <c r="B44">
        <v>30.5</v>
      </c>
      <c r="C44">
        <v>178.6</v>
      </c>
      <c r="D44">
        <v>8884.85</v>
      </c>
      <c r="E44">
        <v>1.3299999999999999E-2</v>
      </c>
      <c r="F44">
        <f t="shared" si="0"/>
        <v>4.3E-3</v>
      </c>
      <c r="G44">
        <f t="shared" si="1"/>
        <v>4.8398379442169283E-7</v>
      </c>
      <c r="H44">
        <f t="shared" si="2"/>
        <v>2066184.8837209302</v>
      </c>
    </row>
    <row r="45" spans="2:8" x14ac:dyDescent="0.6">
      <c r="B45">
        <v>31</v>
      </c>
      <c r="C45">
        <v>181.2</v>
      </c>
      <c r="D45">
        <v>8883.99</v>
      </c>
      <c r="E45">
        <v>1.397E-2</v>
      </c>
      <c r="F45">
        <f t="shared" si="0"/>
        <v>4.9700000000000005E-3</v>
      </c>
      <c r="G45">
        <f t="shared" si="1"/>
        <v>5.5939522285484039E-7</v>
      </c>
      <c r="H45">
        <f t="shared" si="2"/>
        <v>1787644.8692152915</v>
      </c>
    </row>
    <row r="46" spans="2:8" x14ac:dyDescent="0.6">
      <c r="B46">
        <v>31.5</v>
      </c>
      <c r="C46">
        <v>183.7</v>
      </c>
      <c r="D46">
        <v>8885.7099999999991</v>
      </c>
      <c r="E46">
        <v>1.376E-2</v>
      </c>
      <c r="F46">
        <f t="shared" si="0"/>
        <v>4.7600000000000003E-3</v>
      </c>
      <c r="G46">
        <f t="shared" si="1"/>
        <v>5.3575880498773441E-7</v>
      </c>
      <c r="H46">
        <f t="shared" si="2"/>
        <v>1866511.5546218487</v>
      </c>
    </row>
    <row r="47" spans="2:8" x14ac:dyDescent="0.6">
      <c r="B47">
        <v>32</v>
      </c>
      <c r="C47">
        <v>186.2</v>
      </c>
      <c r="D47">
        <v>8885.99</v>
      </c>
      <c r="E47">
        <v>1.3270000000000001E-2</v>
      </c>
      <c r="F47">
        <f t="shared" si="0"/>
        <v>4.2700000000000012E-3</v>
      </c>
      <c r="G47">
        <f t="shared" si="1"/>
        <v>4.8060716329782075E-7</v>
      </c>
      <c r="H47">
        <f t="shared" si="2"/>
        <v>2080701.405152224</v>
      </c>
    </row>
    <row r="48" spans="2:8" x14ac:dyDescent="0.6">
      <c r="B48">
        <v>32.5</v>
      </c>
      <c r="C48">
        <v>188.8</v>
      </c>
      <c r="D48">
        <v>8883.42</v>
      </c>
      <c r="E48">
        <v>1.285E-2</v>
      </c>
      <c r="F48">
        <f t="shared" si="0"/>
        <v>3.850000000000001E-3</v>
      </c>
      <c r="G48">
        <f t="shared" si="1"/>
        <v>4.3333432756360884E-7</v>
      </c>
      <c r="H48">
        <f t="shared" si="2"/>
        <v>2307687.012987012</v>
      </c>
    </row>
    <row r="49" spans="2:8" x14ac:dyDescent="0.6">
      <c r="B49">
        <v>33</v>
      </c>
      <c r="C49">
        <v>191.3</v>
      </c>
      <c r="D49">
        <v>8882.85</v>
      </c>
      <c r="E49">
        <v>1.257E-2</v>
      </c>
      <c r="F49">
        <f t="shared" si="0"/>
        <v>3.5700000000000003E-3</v>
      </c>
      <c r="G49">
        <f t="shared" si="1"/>
        <v>4.0181910374080084E-7</v>
      </c>
      <c r="H49">
        <f t="shared" si="2"/>
        <v>2488682.0728291315</v>
      </c>
    </row>
    <row r="50" spans="2:8" x14ac:dyDescent="0.6">
      <c r="B50">
        <v>33.5</v>
      </c>
      <c r="C50">
        <v>193.9</v>
      </c>
      <c r="D50">
        <v>8884.56</v>
      </c>
      <c r="E50">
        <v>1.231E-2</v>
      </c>
      <c r="F50">
        <f t="shared" si="0"/>
        <v>3.3100000000000004E-3</v>
      </c>
      <c r="G50">
        <f t="shared" si="1"/>
        <v>3.725549673339078E-7</v>
      </c>
      <c r="H50">
        <f t="shared" si="2"/>
        <v>2684167.6737160115</v>
      </c>
    </row>
    <row r="51" spans="2:8" x14ac:dyDescent="0.6">
      <c r="B51">
        <v>34</v>
      </c>
      <c r="C51">
        <v>196.4</v>
      </c>
      <c r="D51">
        <v>8881.7000000000007</v>
      </c>
      <c r="E51">
        <v>1.208E-2</v>
      </c>
      <c r="F51">
        <f t="shared" si="0"/>
        <v>3.0800000000000011E-3</v>
      </c>
      <c r="G51">
        <f t="shared" si="1"/>
        <v>3.4666746205088712E-7</v>
      </c>
      <c r="H51">
        <f t="shared" si="2"/>
        <v>2884608.7662337651</v>
      </c>
    </row>
    <row r="52" spans="2:8" x14ac:dyDescent="0.6">
      <c r="B52">
        <v>34.5</v>
      </c>
      <c r="C52">
        <v>199</v>
      </c>
      <c r="D52">
        <v>8883.7000000000007</v>
      </c>
      <c r="E52">
        <v>1.184E-2</v>
      </c>
      <c r="F52">
        <f t="shared" si="0"/>
        <v>2.8400000000000005E-3</v>
      </c>
      <c r="G52">
        <f t="shared" si="1"/>
        <v>3.1965441305990884E-7</v>
      </c>
      <c r="H52">
        <f t="shared" si="2"/>
        <v>3128378.5211267597</v>
      </c>
    </row>
    <row r="53" spans="2:8" x14ac:dyDescent="0.6">
      <c r="B53">
        <v>35</v>
      </c>
      <c r="C53">
        <v>201.5</v>
      </c>
      <c r="D53">
        <v>8882.85</v>
      </c>
      <c r="E53">
        <v>1.1679999999999999E-2</v>
      </c>
      <c r="F53">
        <f t="shared" si="0"/>
        <v>2.6800000000000001E-3</v>
      </c>
      <c r="G53">
        <f t="shared" si="1"/>
        <v>3.0164571373258997E-7</v>
      </c>
      <c r="H53">
        <f t="shared" si="2"/>
        <v>3315147.3880597013</v>
      </c>
    </row>
    <row r="54" spans="2:8" x14ac:dyDescent="0.6">
      <c r="B54">
        <v>35.5</v>
      </c>
      <c r="C54">
        <v>204.1</v>
      </c>
      <c r="D54">
        <v>8881.42</v>
      </c>
      <c r="E54">
        <v>1.1520000000000001E-2</v>
      </c>
      <c r="F54">
        <f t="shared" si="0"/>
        <v>2.5200000000000014E-3</v>
      </c>
      <c r="G54">
        <f t="shared" si="1"/>
        <v>2.8363701440527132E-7</v>
      </c>
      <c r="H54">
        <f t="shared" si="2"/>
        <v>3525632.9365079342</v>
      </c>
    </row>
    <row r="55" spans="2:8" x14ac:dyDescent="0.6">
      <c r="B55">
        <v>36</v>
      </c>
      <c r="C55">
        <v>206.6</v>
      </c>
      <c r="D55">
        <v>8881.42</v>
      </c>
      <c r="E55">
        <v>1.1429999999999999E-2</v>
      </c>
      <c r="F55">
        <f t="shared" si="0"/>
        <v>2.4299999999999999E-3</v>
      </c>
      <c r="G55">
        <f t="shared" si="1"/>
        <v>2.7350712103365432E-7</v>
      </c>
      <c r="H55">
        <f t="shared" si="2"/>
        <v>3656211.9341563787</v>
      </c>
    </row>
    <row r="56" spans="2:8" x14ac:dyDescent="0.6">
      <c r="B56">
        <v>36.5</v>
      </c>
      <c r="C56">
        <v>209.2</v>
      </c>
      <c r="D56">
        <v>8883.42</v>
      </c>
      <c r="E56">
        <v>1.123E-2</v>
      </c>
      <c r="F56">
        <f t="shared" si="0"/>
        <v>2.2300000000000011E-3</v>
      </c>
      <c r="G56">
        <f t="shared" si="1"/>
        <v>2.5099624687450593E-7</v>
      </c>
      <c r="H56">
        <f t="shared" si="2"/>
        <v>3984123.3183856485</v>
      </c>
    </row>
    <row r="57" spans="2:8" x14ac:dyDescent="0.6">
      <c r="B57">
        <v>37</v>
      </c>
      <c r="C57">
        <v>211.7</v>
      </c>
      <c r="D57">
        <v>8884.2800000000007</v>
      </c>
      <c r="E57">
        <v>1.1129999999999999E-2</v>
      </c>
      <c r="F57">
        <f t="shared" si="0"/>
        <v>2.1299999999999999E-3</v>
      </c>
      <c r="G57">
        <f t="shared" si="1"/>
        <v>2.3974080979493155E-7</v>
      </c>
      <c r="H57">
        <f t="shared" si="2"/>
        <v>4171171.3615023475</v>
      </c>
    </row>
    <row r="58" spans="2:8" x14ac:dyDescent="0.6">
      <c r="B58">
        <v>37.5</v>
      </c>
      <c r="C58">
        <v>214.3</v>
      </c>
      <c r="D58">
        <v>8882.56</v>
      </c>
      <c r="E58">
        <v>1.107E-2</v>
      </c>
      <c r="F58">
        <f t="shared" si="0"/>
        <v>2.0700000000000007E-3</v>
      </c>
      <c r="G58">
        <f t="shared" si="1"/>
        <v>2.3298754754718711E-7</v>
      </c>
      <c r="H58">
        <f t="shared" si="2"/>
        <v>4292074.8792270515</v>
      </c>
    </row>
    <row r="59" spans="2:8" x14ac:dyDescent="0.6">
      <c r="B59">
        <v>38</v>
      </c>
      <c r="C59">
        <v>216.9</v>
      </c>
      <c r="D59">
        <v>8882.85</v>
      </c>
      <c r="E59">
        <v>1.098E-2</v>
      </c>
      <c r="F59">
        <f t="shared" si="0"/>
        <v>1.9800000000000009E-3</v>
      </c>
      <c r="G59">
        <f t="shared" si="1"/>
        <v>2.228576541755703E-7</v>
      </c>
      <c r="H59">
        <f t="shared" si="2"/>
        <v>4487169.1919191899</v>
      </c>
    </row>
    <row r="60" spans="2:8" x14ac:dyDescent="0.6">
      <c r="B60">
        <v>38.5</v>
      </c>
      <c r="C60">
        <v>219.5</v>
      </c>
      <c r="D60">
        <v>8882.85</v>
      </c>
      <c r="E60">
        <v>1.091E-2</v>
      </c>
      <c r="F60">
        <f t="shared" si="0"/>
        <v>1.9100000000000002E-3</v>
      </c>
      <c r="G60">
        <f t="shared" si="1"/>
        <v>2.1497884821986825E-7</v>
      </c>
      <c r="H60">
        <f t="shared" si="2"/>
        <v>4651620.4188481672</v>
      </c>
    </row>
    <row r="61" spans="2:8" x14ac:dyDescent="0.6">
      <c r="B61">
        <v>39</v>
      </c>
      <c r="C61">
        <v>222</v>
      </c>
      <c r="D61">
        <v>8882.85</v>
      </c>
      <c r="E61">
        <v>1.0840000000000001E-2</v>
      </c>
      <c r="F61">
        <f t="shared" si="0"/>
        <v>1.8400000000000014E-3</v>
      </c>
      <c r="G61">
        <f t="shared" si="1"/>
        <v>2.071000422641664E-7</v>
      </c>
      <c r="H61">
        <f t="shared" si="2"/>
        <v>4828584.2391304309</v>
      </c>
    </row>
    <row r="62" spans="2:8" x14ac:dyDescent="0.6">
      <c r="B62">
        <v>39.5</v>
      </c>
      <c r="C62">
        <v>224.6</v>
      </c>
      <c r="D62">
        <v>8881.7000000000007</v>
      </c>
      <c r="E62">
        <v>1.074E-2</v>
      </c>
      <c r="F62">
        <f t="shared" si="0"/>
        <v>1.7400000000000002E-3</v>
      </c>
      <c r="G62">
        <f t="shared" si="1"/>
        <v>1.9584460518459202E-7</v>
      </c>
      <c r="H62">
        <f t="shared" si="2"/>
        <v>5106089.0804597689</v>
      </c>
    </row>
    <row r="63" spans="2:8" x14ac:dyDescent="0.6">
      <c r="B63">
        <v>40</v>
      </c>
      <c r="C63">
        <v>227.2</v>
      </c>
      <c r="D63">
        <v>8881.42</v>
      </c>
      <c r="E63">
        <v>1.069E-2</v>
      </c>
      <c r="F63">
        <f t="shared" si="0"/>
        <v>1.6900000000000005E-3</v>
      </c>
      <c r="G63">
        <f t="shared" si="1"/>
        <v>1.9021688664480494E-7</v>
      </c>
      <c r="H63">
        <f t="shared" si="2"/>
        <v>5257156.8047337253</v>
      </c>
    </row>
    <row r="64" spans="2:8" x14ac:dyDescent="0.6">
      <c r="B64">
        <v>40.5</v>
      </c>
      <c r="C64">
        <v>229.8</v>
      </c>
      <c r="D64">
        <v>8881.42</v>
      </c>
      <c r="E64">
        <v>1.0659999999999999E-2</v>
      </c>
      <c r="F64">
        <f t="shared" si="0"/>
        <v>1.66E-3</v>
      </c>
      <c r="G64">
        <f t="shared" si="1"/>
        <v>1.8684025552093259E-7</v>
      </c>
      <c r="H64">
        <f t="shared" si="2"/>
        <v>5352165.6626506019</v>
      </c>
    </row>
    <row r="65" spans="2:8" x14ac:dyDescent="0.6">
      <c r="B65">
        <v>41</v>
      </c>
      <c r="C65">
        <v>232.3</v>
      </c>
      <c r="D65">
        <v>8881.42</v>
      </c>
      <c r="E65">
        <v>1.059E-2</v>
      </c>
      <c r="F65">
        <f t="shared" si="0"/>
        <v>1.5900000000000011E-3</v>
      </c>
      <c r="G65">
        <f t="shared" si="1"/>
        <v>1.7896144956523075E-7</v>
      </c>
      <c r="H65">
        <f t="shared" si="2"/>
        <v>5587795.597484272</v>
      </c>
    </row>
    <row r="66" spans="2:8" x14ac:dyDescent="0.6">
      <c r="B66">
        <v>41.5</v>
      </c>
      <c r="C66">
        <v>234.6</v>
      </c>
      <c r="D66">
        <v>8881.42</v>
      </c>
      <c r="E66">
        <v>1.056E-2</v>
      </c>
      <c r="F66">
        <f t="shared" si="0"/>
        <v>1.5600000000000006E-3</v>
      </c>
      <c r="G66">
        <f t="shared" si="1"/>
        <v>1.7558481844135842E-7</v>
      </c>
      <c r="H66">
        <f t="shared" si="2"/>
        <v>5695253.2051282022</v>
      </c>
    </row>
    <row r="67" spans="2:8" x14ac:dyDescent="0.6">
      <c r="B67">
        <v>42</v>
      </c>
      <c r="C67">
        <v>237.5</v>
      </c>
      <c r="D67">
        <v>8880.84</v>
      </c>
      <c r="E67">
        <v>1.0500000000000001E-2</v>
      </c>
      <c r="F67">
        <f t="shared" si="0"/>
        <v>1.5000000000000013E-3</v>
      </c>
      <c r="G67">
        <f t="shared" si="1"/>
        <v>1.6883155619361393E-7</v>
      </c>
      <c r="H67">
        <f t="shared" si="2"/>
        <v>5923063.3333333274</v>
      </c>
    </row>
    <row r="68" spans="2:8" x14ac:dyDescent="0.6">
      <c r="B68">
        <v>42.5</v>
      </c>
      <c r="C68">
        <v>240.1</v>
      </c>
      <c r="D68">
        <v>8882.27</v>
      </c>
      <c r="E68">
        <v>1.051E-2</v>
      </c>
      <c r="F68">
        <f t="shared" si="0"/>
        <v>1.5100000000000009E-3</v>
      </c>
      <c r="G68">
        <f t="shared" si="1"/>
        <v>1.6995709990157131E-7</v>
      </c>
      <c r="H68">
        <f t="shared" si="2"/>
        <v>5883837.7483443674</v>
      </c>
    </row>
    <row r="69" spans="2:8" x14ac:dyDescent="0.6">
      <c r="B69">
        <v>43</v>
      </c>
      <c r="C69">
        <v>242.7</v>
      </c>
      <c r="D69">
        <v>8881.1299999999992</v>
      </c>
      <c r="E69">
        <v>1.044E-2</v>
      </c>
      <c r="F69">
        <f t="shared" ref="F69:F91" si="3">E69-0.009</f>
        <v>1.4400000000000003E-3</v>
      </c>
      <c r="G69">
        <f t="shared" ref="G69:G91" si="4">F69/8884.595</f>
        <v>1.6207829394586929E-7</v>
      </c>
      <c r="H69">
        <f t="shared" ref="H69:H91" si="5">1/G69</f>
        <v>6169857.6388888862</v>
      </c>
    </row>
    <row r="70" spans="2:8" x14ac:dyDescent="0.6">
      <c r="B70">
        <v>43.5</v>
      </c>
      <c r="C70">
        <v>245.3</v>
      </c>
      <c r="D70">
        <v>8880.56</v>
      </c>
      <c r="E70">
        <v>1.043E-2</v>
      </c>
      <c r="F70">
        <f t="shared" si="3"/>
        <v>1.4300000000000007E-3</v>
      </c>
      <c r="G70">
        <f t="shared" si="4"/>
        <v>1.6095275023791191E-7</v>
      </c>
      <c r="H70">
        <f t="shared" si="5"/>
        <v>6213003.4965034928</v>
      </c>
    </row>
    <row r="71" spans="2:8" x14ac:dyDescent="0.6">
      <c r="B71">
        <v>44</v>
      </c>
      <c r="C71">
        <v>247.9</v>
      </c>
      <c r="D71">
        <v>8880.27</v>
      </c>
      <c r="E71">
        <v>1.038E-2</v>
      </c>
      <c r="F71">
        <f t="shared" si="3"/>
        <v>1.380000000000001E-3</v>
      </c>
      <c r="G71">
        <f t="shared" si="4"/>
        <v>1.553250316981248E-7</v>
      </c>
      <c r="H71">
        <f t="shared" si="5"/>
        <v>6438112.3188405745</v>
      </c>
    </row>
    <row r="72" spans="2:8" x14ac:dyDescent="0.6">
      <c r="B72">
        <v>44.5</v>
      </c>
      <c r="C72">
        <v>250.5</v>
      </c>
      <c r="D72">
        <v>8879.1299999999992</v>
      </c>
      <c r="E72">
        <v>1.0370000000000001E-2</v>
      </c>
      <c r="F72">
        <f t="shared" si="3"/>
        <v>1.3700000000000014E-3</v>
      </c>
      <c r="G72">
        <f t="shared" si="4"/>
        <v>1.5419948799016742E-7</v>
      </c>
      <c r="H72">
        <f t="shared" si="5"/>
        <v>6485105.8394160513</v>
      </c>
    </row>
    <row r="73" spans="2:8" x14ac:dyDescent="0.6">
      <c r="B73">
        <v>45</v>
      </c>
      <c r="C73">
        <v>253.1</v>
      </c>
      <c r="D73">
        <v>8879.7000000000007</v>
      </c>
      <c r="E73">
        <v>1.03E-2</v>
      </c>
      <c r="F73">
        <f t="shared" si="3"/>
        <v>1.3000000000000008E-3</v>
      </c>
      <c r="G73">
        <f t="shared" si="4"/>
        <v>1.4632068203446539E-7</v>
      </c>
      <c r="H73">
        <f t="shared" si="5"/>
        <v>6834303.8461538404</v>
      </c>
    </row>
    <row r="74" spans="2:8" x14ac:dyDescent="0.6">
      <c r="B74">
        <v>45.5</v>
      </c>
      <c r="C74">
        <v>255.7</v>
      </c>
      <c r="D74">
        <v>8880.56</v>
      </c>
      <c r="E74">
        <v>1.023E-2</v>
      </c>
      <c r="F74">
        <f t="shared" si="3"/>
        <v>1.2300000000000002E-3</v>
      </c>
      <c r="G74">
        <f t="shared" si="4"/>
        <v>1.3844187607876333E-7</v>
      </c>
      <c r="H74">
        <f t="shared" si="5"/>
        <v>7223247.9674796732</v>
      </c>
    </row>
    <row r="75" spans="2:8" x14ac:dyDescent="0.6">
      <c r="B75">
        <v>46</v>
      </c>
      <c r="C75">
        <v>258.39999999999998</v>
      </c>
      <c r="D75">
        <v>8879.99</v>
      </c>
      <c r="E75">
        <v>1.026E-2</v>
      </c>
      <c r="F75">
        <f t="shared" si="3"/>
        <v>1.2600000000000007E-3</v>
      </c>
      <c r="G75">
        <f t="shared" si="4"/>
        <v>1.4181850720263566E-7</v>
      </c>
      <c r="H75">
        <f t="shared" si="5"/>
        <v>7051265.8730158685</v>
      </c>
    </row>
    <row r="76" spans="2:8" x14ac:dyDescent="0.6">
      <c r="B76">
        <v>46.5</v>
      </c>
      <c r="C76">
        <v>261</v>
      </c>
      <c r="D76">
        <v>8880.27</v>
      </c>
      <c r="E76">
        <v>1.022E-2</v>
      </c>
      <c r="F76">
        <f t="shared" si="3"/>
        <v>1.2200000000000006E-3</v>
      </c>
      <c r="G76">
        <f t="shared" si="4"/>
        <v>1.3731633237080595E-7</v>
      </c>
      <c r="H76">
        <f t="shared" si="5"/>
        <v>7282454.9180327822</v>
      </c>
    </row>
    <row r="77" spans="2:8" x14ac:dyDescent="0.6">
      <c r="B77">
        <v>47</v>
      </c>
      <c r="C77">
        <v>263.60000000000002</v>
      </c>
      <c r="D77">
        <v>8880.84</v>
      </c>
      <c r="E77">
        <v>1.0200000000000001E-2</v>
      </c>
      <c r="F77">
        <f t="shared" si="3"/>
        <v>1.2000000000000014E-3</v>
      </c>
      <c r="G77">
        <f t="shared" si="4"/>
        <v>1.3506524495489119E-7</v>
      </c>
      <c r="H77">
        <f t="shared" si="5"/>
        <v>7403829.1666666567</v>
      </c>
    </row>
    <row r="78" spans="2:8" x14ac:dyDescent="0.6">
      <c r="B78">
        <v>47.5</v>
      </c>
      <c r="C78">
        <v>266.2</v>
      </c>
      <c r="D78">
        <v>8877.7000000000007</v>
      </c>
      <c r="E78">
        <v>1.0160000000000001E-2</v>
      </c>
      <c r="F78">
        <f t="shared" si="3"/>
        <v>1.1600000000000013E-3</v>
      </c>
      <c r="G78">
        <f t="shared" si="4"/>
        <v>1.3056307012306149E-7</v>
      </c>
      <c r="H78">
        <f t="shared" si="5"/>
        <v>7659133.6206896454</v>
      </c>
    </row>
    <row r="79" spans="2:8" x14ac:dyDescent="0.6">
      <c r="B79">
        <v>48</v>
      </c>
      <c r="C79">
        <v>268.2</v>
      </c>
      <c r="D79">
        <v>8879.41</v>
      </c>
      <c r="E79">
        <v>1.014E-2</v>
      </c>
      <c r="F79">
        <f t="shared" si="3"/>
        <v>1.1400000000000004E-3</v>
      </c>
      <c r="G79">
        <f t="shared" si="4"/>
        <v>1.2831198270714652E-7</v>
      </c>
      <c r="H79">
        <f t="shared" si="5"/>
        <v>7793504.3859649096</v>
      </c>
    </row>
    <row r="80" spans="2:8" x14ac:dyDescent="0.6">
      <c r="B80">
        <v>48.5</v>
      </c>
      <c r="C80">
        <v>271.5</v>
      </c>
      <c r="D80">
        <v>8878.56</v>
      </c>
      <c r="E80">
        <v>1.0149999999999999E-2</v>
      </c>
      <c r="F80">
        <f t="shared" si="3"/>
        <v>1.15E-3</v>
      </c>
      <c r="G80">
        <f t="shared" si="4"/>
        <v>1.294375264151039E-7</v>
      </c>
      <c r="H80">
        <f t="shared" si="5"/>
        <v>7725734.7826086953</v>
      </c>
    </row>
    <row r="81" spans="2:8" x14ac:dyDescent="0.6">
      <c r="B81">
        <v>49</v>
      </c>
      <c r="C81">
        <v>274.10000000000002</v>
      </c>
      <c r="D81">
        <v>8880.27</v>
      </c>
      <c r="E81">
        <v>1.009E-2</v>
      </c>
      <c r="F81">
        <f t="shared" si="3"/>
        <v>1.0900000000000007E-3</v>
      </c>
      <c r="G81">
        <f t="shared" si="4"/>
        <v>1.2268426416735944E-7</v>
      </c>
      <c r="H81">
        <f t="shared" si="5"/>
        <v>8151004.5871559568</v>
      </c>
    </row>
    <row r="82" spans="2:8" x14ac:dyDescent="0.6">
      <c r="B82">
        <v>49.5</v>
      </c>
      <c r="C82">
        <v>276.7</v>
      </c>
      <c r="D82">
        <v>8877.98</v>
      </c>
      <c r="E82">
        <v>1.0070000000000001E-2</v>
      </c>
      <c r="F82">
        <f t="shared" si="3"/>
        <v>1.0700000000000015E-3</v>
      </c>
      <c r="G82">
        <f t="shared" si="4"/>
        <v>1.2043317675144468E-7</v>
      </c>
      <c r="H82">
        <f t="shared" si="5"/>
        <v>8303359.8130840994</v>
      </c>
    </row>
    <row r="83" spans="2:8" x14ac:dyDescent="0.6">
      <c r="B83">
        <v>50</v>
      </c>
      <c r="C83">
        <v>279.39999999999998</v>
      </c>
      <c r="D83">
        <v>8880.84</v>
      </c>
      <c r="E83">
        <v>1.0019999999999999E-2</v>
      </c>
      <c r="F83">
        <f t="shared" si="3"/>
        <v>1.0200000000000001E-3</v>
      </c>
      <c r="G83">
        <f t="shared" si="4"/>
        <v>1.1480545821165738E-7</v>
      </c>
      <c r="H83">
        <f t="shared" si="5"/>
        <v>8710387.2549019605</v>
      </c>
    </row>
    <row r="84" spans="2:8" x14ac:dyDescent="0.6">
      <c r="B84">
        <v>50.5</v>
      </c>
      <c r="C84">
        <v>282</v>
      </c>
      <c r="D84">
        <v>8877.98</v>
      </c>
      <c r="E84">
        <v>1.004E-2</v>
      </c>
      <c r="F84">
        <f t="shared" si="3"/>
        <v>1.040000000000001E-3</v>
      </c>
      <c r="G84">
        <f t="shared" si="4"/>
        <v>1.1705654562757234E-7</v>
      </c>
      <c r="H84">
        <f t="shared" si="5"/>
        <v>8542879.8076922987</v>
      </c>
    </row>
    <row r="85" spans="2:8" x14ac:dyDescent="0.6">
      <c r="B85">
        <v>51</v>
      </c>
      <c r="C85">
        <v>284.7</v>
      </c>
      <c r="D85">
        <v>8878.56</v>
      </c>
      <c r="E85">
        <v>1.0019999999999999E-2</v>
      </c>
      <c r="F85">
        <f t="shared" si="3"/>
        <v>1.0200000000000001E-3</v>
      </c>
      <c r="G85">
        <f t="shared" si="4"/>
        <v>1.1480545821165738E-7</v>
      </c>
      <c r="H85">
        <f t="shared" si="5"/>
        <v>8710387.2549019605</v>
      </c>
    </row>
    <row r="86" spans="2:8" x14ac:dyDescent="0.6">
      <c r="B86">
        <v>51.5</v>
      </c>
      <c r="C86">
        <v>287.3</v>
      </c>
      <c r="D86">
        <v>8877.1299999999992</v>
      </c>
      <c r="E86">
        <v>9.9699999999999997E-3</v>
      </c>
      <c r="F86">
        <f t="shared" si="3"/>
        <v>9.7000000000000038E-4</v>
      </c>
      <c r="G86">
        <f t="shared" si="4"/>
        <v>1.091777396718703E-7</v>
      </c>
      <c r="H86">
        <f t="shared" si="5"/>
        <v>9159376.2886597887</v>
      </c>
    </row>
    <row r="87" spans="2:8" x14ac:dyDescent="0.6">
      <c r="B87">
        <v>52</v>
      </c>
      <c r="C87">
        <v>289.89999999999998</v>
      </c>
      <c r="D87">
        <v>8879.7000000000007</v>
      </c>
      <c r="E87">
        <v>9.9399999999999992E-3</v>
      </c>
      <c r="F87">
        <f t="shared" si="3"/>
        <v>9.3999999999999986E-4</v>
      </c>
      <c r="G87">
        <f t="shared" si="4"/>
        <v>1.0580110854799796E-7</v>
      </c>
      <c r="H87">
        <f t="shared" si="5"/>
        <v>9451696.8085106388</v>
      </c>
    </row>
    <row r="88" spans="2:8" x14ac:dyDescent="0.6">
      <c r="B88">
        <v>52.5</v>
      </c>
      <c r="C88">
        <v>292.60000000000002</v>
      </c>
      <c r="D88">
        <v>8879.7000000000007</v>
      </c>
      <c r="E88">
        <v>9.9799999999999993E-3</v>
      </c>
      <c r="F88">
        <f t="shared" si="3"/>
        <v>9.7999999999999997E-4</v>
      </c>
      <c r="G88">
        <f t="shared" si="4"/>
        <v>1.1030328337982768E-7</v>
      </c>
      <c r="H88">
        <f t="shared" si="5"/>
        <v>9065913.2653061207</v>
      </c>
    </row>
    <row r="89" spans="2:8" x14ac:dyDescent="0.6">
      <c r="B89">
        <v>53</v>
      </c>
      <c r="C89">
        <v>295.3</v>
      </c>
      <c r="D89">
        <v>8878.27</v>
      </c>
      <c r="E89">
        <v>9.9600000000000001E-3</v>
      </c>
      <c r="F89">
        <f t="shared" si="3"/>
        <v>9.6000000000000078E-4</v>
      </c>
      <c r="G89">
        <f t="shared" si="4"/>
        <v>1.0805219596391292E-7</v>
      </c>
      <c r="H89">
        <f t="shared" si="5"/>
        <v>9254786.4583333246</v>
      </c>
    </row>
    <row r="90" spans="2:8" x14ac:dyDescent="0.6">
      <c r="B90">
        <v>53.5</v>
      </c>
      <c r="C90">
        <v>297.89999999999998</v>
      </c>
      <c r="D90">
        <v>8879.7000000000007</v>
      </c>
      <c r="E90">
        <v>9.9100000000000004E-3</v>
      </c>
      <c r="F90">
        <f t="shared" si="3"/>
        <v>9.1000000000000109E-4</v>
      </c>
      <c r="G90">
        <f t="shared" si="4"/>
        <v>1.0242447742412582E-7</v>
      </c>
      <c r="H90">
        <f t="shared" si="5"/>
        <v>9763291.2087911963</v>
      </c>
    </row>
    <row r="91" spans="2:8" x14ac:dyDescent="0.6">
      <c r="B91">
        <v>54</v>
      </c>
      <c r="C91">
        <v>300.60000000000002</v>
      </c>
      <c r="D91">
        <v>8878.27</v>
      </c>
      <c r="E91">
        <v>9.9299999999999996E-3</v>
      </c>
      <c r="F91">
        <f t="shared" si="3"/>
        <v>9.3000000000000027E-4</v>
      </c>
      <c r="G91">
        <f t="shared" si="4"/>
        <v>1.0467556484004058E-7</v>
      </c>
      <c r="H91">
        <f t="shared" si="5"/>
        <v>9553327.9569892436</v>
      </c>
    </row>
    <row r="93" spans="2:8" x14ac:dyDescent="0.6">
      <c r="D93">
        <f>AVERAGE(D4:D91)</f>
        <v>8884.5950000000012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Ni</vt:lpstr>
      <vt:lpstr>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上野智也</cp:lastModifiedBy>
  <dcterms:created xsi:type="dcterms:W3CDTF">2021-10-13T04:00:51Z</dcterms:created>
  <dcterms:modified xsi:type="dcterms:W3CDTF">2021-12-04T09:31:43Z</dcterms:modified>
</cp:coreProperties>
</file>